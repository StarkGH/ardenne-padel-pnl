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 factures" state="visible" r:id="rId4"/>
    <sheet sheetId="2" name="Détail produits" state="visible" r:id="rId5"/>
    <sheet sheetId="3" name="Récap par produit" state="visible" r:id="rId6"/>
    <sheet sheetId="4" name="Frais connexes" state="visible" r:id="rId7"/>
  </sheets>
  <calcPr calcId="171027"/>
</workbook>
</file>

<file path=xl/sharedStrings.xml><?xml version="1.0" encoding="utf-8"?>
<sst xmlns="http://schemas.openxmlformats.org/spreadsheetml/2006/main" count="1855" uniqueCount="258">
  <si>
    <t>Facture</t>
  </si>
  <si>
    <t>Date</t>
  </si>
  <si>
    <t>Total à payer</t>
  </si>
  <si>
    <t>HTVA 21%</t>
  </si>
  <si>
    <t>HTVA 6%</t>
  </si>
  <si>
    <t>TVA 21%</t>
  </si>
  <si>
    <t>TVA 6%</t>
  </si>
  <si>
    <t>Vid.livrées</t>
  </si>
  <si>
    <t>Vid.reprises</t>
  </si>
  <si>
    <t>Nb lignes</t>
  </si>
  <si>
    <t>00010013</t>
  </si>
  <si>
    <t>09/10/2025</t>
  </si>
  <si>
    <t>00010041</t>
  </si>
  <si>
    <t>18/10/2025</t>
  </si>
  <si>
    <t>00010072</t>
  </si>
  <si>
    <t>30/10/2025</t>
  </si>
  <si>
    <t>00011002</t>
  </si>
  <si>
    <t>06/11/2025</t>
  </si>
  <si>
    <t>00011035</t>
  </si>
  <si>
    <t>15/11/2025</t>
  </si>
  <si>
    <t>00011054</t>
  </si>
  <si>
    <t>24/11/2025</t>
  </si>
  <si>
    <t>00011056</t>
  </si>
  <si>
    <t>27/11/2025</t>
  </si>
  <si>
    <t>00012019</t>
  </si>
  <si>
    <t>09/12/2025</t>
  </si>
  <si>
    <t>00012051</t>
  </si>
  <si>
    <t>19/12/2025</t>
  </si>
  <si>
    <t>00012090</t>
  </si>
  <si>
    <t>31/12/2025</t>
  </si>
  <si>
    <t>00001013</t>
  </si>
  <si>
    <t>22/01/2026</t>
  </si>
  <si>
    <t>TOTAL</t>
  </si>
  <si>
    <t/>
  </si>
  <si>
    <t>Code</t>
  </si>
  <si>
    <t>Description</t>
  </si>
  <si>
    <t>Qté Colis</t>
  </si>
  <si>
    <t>Qté Total</t>
  </si>
  <si>
    <t>Prix Unit</t>
  </si>
  <si>
    <t>Accises</t>
  </si>
  <si>
    <t>Rem%</t>
  </si>
  <si>
    <t>Prix Net</t>
  </si>
  <si>
    <t>Total HTVA</t>
  </si>
  <si>
    <t>Vid/U</t>
  </si>
  <si>
    <t>Vid Tot</t>
  </si>
  <si>
    <t>TVA%</t>
  </si>
  <si>
    <t>Type</t>
  </si>
  <si>
    <t>Montant TVA</t>
  </si>
  <si>
    <t>Total TVAC</t>
  </si>
  <si>
    <t>0000000231</t>
  </si>
  <si>
    <t>CO2 10 KG ACP</t>
  </si>
  <si>
    <t>21%</t>
  </si>
  <si>
    <t>PRODUCT</t>
  </si>
  <si>
    <t>0000000883</t>
  </si>
  <si>
    <t>JUPILER FUT 20 L</t>
  </si>
  <si>
    <t>0000000277</t>
  </si>
  <si>
    <t>VIEILLE SALME 20 L</t>
  </si>
  <si>
    <t>0000002453</t>
  </si>
  <si>
    <t>LEFFE BLONDE 24 X 33 CL 18+6 GRATUITES</t>
  </si>
  <si>
    <t>0000002454</t>
  </si>
  <si>
    <t>LEFFE BRUNE 24 X 33 CL 18+6 GRATUITES</t>
  </si>
  <si>
    <t>0000002241</t>
  </si>
  <si>
    <t>ST HUBERTUS BLONDE - AMBREE 12 X 33 C</t>
  </si>
  <si>
    <t>0000000040</t>
  </si>
  <si>
    <t>HOEGAARDEN 24 X 25 CL</t>
  </si>
  <si>
    <t>0000001007</t>
  </si>
  <si>
    <t>HOEGAARDEN ROSEE 24 X 25 CL</t>
  </si>
  <si>
    <t>0000000060</t>
  </si>
  <si>
    <t>CHIMAY BLEU 9° 24 X 33 CL</t>
  </si>
  <si>
    <t>0000000270</t>
  </si>
  <si>
    <t>DESPERADOS 24 X 33 CL</t>
  </si>
  <si>
    <t>0000001051</t>
  </si>
  <si>
    <t>CHOUFFE MAC CHOUFFE 24 X 33 CL</t>
  </si>
  <si>
    <t>0000002999</t>
  </si>
  <si>
    <t>CHOUFFE CHERRY 24 X 33 CL</t>
  </si>
  <si>
    <t>0000003052</t>
  </si>
  <si>
    <t>VIEILLE SALME 8.3% 24 X 33 CL</t>
  </si>
  <si>
    <t>0000001995</t>
  </si>
  <si>
    <t>LUPULUS BLONDE 8.5° 24 X 33 CL</t>
  </si>
  <si>
    <t>0000001996</t>
  </si>
  <si>
    <t>LUPULUS BRUNE 8.5° 24 X 33 CL</t>
  </si>
  <si>
    <t>0000000067</t>
  </si>
  <si>
    <t>DUVEL 24 X 33 CL</t>
  </si>
  <si>
    <t>0000000047</t>
  </si>
  <si>
    <t>PECHERESSE 24 X 25 CL</t>
  </si>
  <si>
    <t>0000030171</t>
  </si>
  <si>
    <t>LI NEURRE BIESSE D'IVIER 8.3% 24 X 33 CL</t>
  </si>
  <si>
    <t>*** GRATUIT ***</t>
  </si>
  <si>
    <t>GRATUIT</t>
  </si>
  <si>
    <t>0000003051</t>
  </si>
  <si>
    <t>L'ANGE DE LA SALME 6% 24 X 33 CL</t>
  </si>
  <si>
    <t>0000000899</t>
  </si>
  <si>
    <t>LA MYRTILLE D AMELIE 6% 24 X 33 CL</t>
  </si>
  <si>
    <t>0000030161</t>
  </si>
  <si>
    <t>AURORE DE LA SALM 8.3% 24 X 33 CL CART</t>
  </si>
  <si>
    <t>0000000049</t>
  </si>
  <si>
    <t>JUPILER 0.0 24 X 25 CL</t>
  </si>
  <si>
    <t>6%</t>
  </si>
  <si>
    <t>0000000133</t>
  </si>
  <si>
    <t>SPA REINE 28 X 25 CL</t>
  </si>
  <si>
    <t>0000000134</t>
  </si>
  <si>
    <t>SPA GAZ 28 X 25 CL</t>
  </si>
  <si>
    <t>0000000170</t>
  </si>
  <si>
    <t>SCHW EPPES TONIC 24 X 25 CL</t>
  </si>
  <si>
    <t>0000000464</t>
  </si>
  <si>
    <t>SCHW EPPES  AGRUME &amp; LIGHT 24 x 25 CL</t>
  </si>
  <si>
    <t>0000000176</t>
  </si>
  <si>
    <t>GINI 24 X 20 CL</t>
  </si>
  <si>
    <t>0000000175</t>
  </si>
  <si>
    <t>CANADA DRY 24 X 25 CL</t>
  </si>
  <si>
    <t>0000000172</t>
  </si>
  <si>
    <t>SCHW EPPES MOJITO/PINK/SPRITZ 24 X 25</t>
  </si>
  <si>
    <t>0000000178</t>
  </si>
  <si>
    <t>ICE TEA REGULAR+ZERO 24 X 25CL</t>
  </si>
  <si>
    <t>0000000393</t>
  </si>
  <si>
    <t>ICE TEA PECHE 24 X 25 CL</t>
  </si>
  <si>
    <t>0000000824</t>
  </si>
  <si>
    <t>LOOZA TOUS 20CLX24</t>
  </si>
  <si>
    <t>0000000843</t>
  </si>
  <si>
    <t>LOOZA MULT ACE-RED- 24 X 20 CL</t>
  </si>
  <si>
    <t>0000000162</t>
  </si>
  <si>
    <t>COCA COLA 24  X 20 CL</t>
  </si>
  <si>
    <t>0000000163</t>
  </si>
  <si>
    <t>COCA COLA ZERO 24 X 20 CL</t>
  </si>
  <si>
    <t>0000000165</t>
  </si>
  <si>
    <t>FANTA ORANGE / LEMON 24 X 20 CL</t>
  </si>
  <si>
    <t>0000000166</t>
  </si>
  <si>
    <t>SPRITE 24 X 20 CL</t>
  </si>
  <si>
    <t>0000000225</t>
  </si>
  <si>
    <t>SIROP GRENADINE 1L</t>
  </si>
  <si>
    <t>0000000228</t>
  </si>
  <si>
    <t>CHIPS LAY S SEL 20X40GRS</t>
  </si>
  <si>
    <t>0000000229</t>
  </si>
  <si>
    <t>CHIPS PAPRIKA LAY S 20X40GR</t>
  </si>
  <si>
    <t>0000000230</t>
  </si>
  <si>
    <t>CHIPS SCHMITS GRILLS 20 X 40 GR</t>
  </si>
  <si>
    <t>0000000420</t>
  </si>
  <si>
    <t>CHIPS SUPCHIPS S/POIV 20X40GR</t>
  </si>
  <si>
    <t>0000002423</t>
  </si>
  <si>
    <t>APEROL 11% 1L</t>
  </si>
  <si>
    <t>0000000219</t>
  </si>
  <si>
    <t>LE PEKET DE SALME</t>
  </si>
  <si>
    <t>0000002083</t>
  </si>
  <si>
    <t>LA TORRE CHARDONNAY BLANC</t>
  </si>
  <si>
    <t>0000002350</t>
  </si>
  <si>
    <t>LA TORRE ROSATO IGP SALENTO 75 CL RS</t>
  </si>
  <si>
    <t>0000002351</t>
  </si>
  <si>
    <t>LA TORRE NEGROAMARO IGP SALENTO</t>
  </si>
  <si>
    <t>0000000104</t>
  </si>
  <si>
    <t>AQUARIUS 24 X  33CL PET</t>
  </si>
  <si>
    <t>0000000232</t>
  </si>
  <si>
    <t>BECHAREIN 1L</t>
  </si>
  <si>
    <t>0000005001</t>
  </si>
  <si>
    <t>VERRES JUPILER</t>
  </si>
  <si>
    <t>0000005074</t>
  </si>
  <si>
    <t>VERRES LEFFE</t>
  </si>
  <si>
    <t>0000005052</t>
  </si>
  <si>
    <t>VERRES VIEILLE SALME 33 CL</t>
  </si>
  <si>
    <t>0000006052</t>
  </si>
  <si>
    <t>GALOPINS VIEILLE SALME 15 CL</t>
  </si>
  <si>
    <t>0000005040</t>
  </si>
  <si>
    <t>VERRES HOEGARDEN</t>
  </si>
  <si>
    <t>0000005059</t>
  </si>
  <si>
    <t>VERRES CHIMAY</t>
  </si>
  <si>
    <t>0000005015</t>
  </si>
  <si>
    <t>VERRES MAC CHOUFFE</t>
  </si>
  <si>
    <t>0000005312</t>
  </si>
  <si>
    <t>VERRES LUPULUS</t>
  </si>
  <si>
    <t>0000005067</t>
  </si>
  <si>
    <t>VERRES DUVEL</t>
  </si>
  <si>
    <t>0000005178</t>
  </si>
  <si>
    <t>VERRES ICE TEA LIPTON</t>
  </si>
  <si>
    <t>0000005170</t>
  </si>
  <si>
    <t>VERRES SCHW EPPES</t>
  </si>
  <si>
    <t>0000005147</t>
  </si>
  <si>
    <t>VERRES COCA-FANTA-SPRITE</t>
  </si>
  <si>
    <t>0000005117</t>
  </si>
  <si>
    <t>VERRES A SPA</t>
  </si>
  <si>
    <t>0000005212</t>
  </si>
  <si>
    <t>VERRES VIN</t>
  </si>
  <si>
    <t>VERRES A EAUX SANS PIEDS</t>
  </si>
  <si>
    <t>0000005156</t>
  </si>
  <si>
    <t>VERRES APEROL</t>
  </si>
  <si>
    <t>0000000961</t>
  </si>
  <si>
    <t>VIDANGE 60€</t>
  </si>
  <si>
    <t>VIDANGE</t>
  </si>
  <si>
    <t>0000001684</t>
  </si>
  <si>
    <t>LIENNE GRANDGOUSIER 5°24 X 33 CL</t>
  </si>
  <si>
    <t>0000000802</t>
  </si>
  <si>
    <t>VILLERS CITRON 6 X 1 LITRE</t>
  </si>
  <si>
    <t>0000000803</t>
  </si>
  <si>
    <t>VILLERS ORANGE 6 X 1 LITRE</t>
  </si>
  <si>
    <t>0000000886</t>
  </si>
  <si>
    <t>COCA COLA ZERO 6 X 1 L</t>
  </si>
  <si>
    <t>LUPULUS BRUNE 8.5° 24 X 33 CL-</t>
  </si>
  <si>
    <t>0000000901</t>
  </si>
  <si>
    <t>RETOUR VIDANGE 30 Eur (1230)</t>
  </si>
  <si>
    <t>RETOUR_VIDANGE</t>
  </si>
  <si>
    <t>0000000941</t>
  </si>
  <si>
    <t>RETOUR VIDS COCA CHAUD SPA 20 CL</t>
  </si>
  <si>
    <t>0000000911</t>
  </si>
  <si>
    <t>RETOUR VIDANGE</t>
  </si>
  <si>
    <t>0000000902</t>
  </si>
  <si>
    <t>RETOUR VIDANGE 4.50 Eur</t>
  </si>
  <si>
    <t>0000000906</t>
  </si>
  <si>
    <t>RETOUR VIDANGES 0.10 Eur ( bT)</t>
  </si>
  <si>
    <t>COCA COLA 24  X 20 CL-</t>
  </si>
  <si>
    <t>LIENNE GRANDGOUSIER 5°24 X 33 CL-</t>
  </si>
  <si>
    <t>LUPULUS BLONDE 8.5° 24 X 33 CL-</t>
  </si>
  <si>
    <t>CHOUFFE CHERRY 24 X 33 CL-</t>
  </si>
  <si>
    <t>DUVEL 24 X 33 CL-</t>
  </si>
  <si>
    <t>CHOUFFE MAC CHOUFFE 24 X 33 CL-</t>
  </si>
  <si>
    <t>DESPERADOS 24 X 33 CL-</t>
  </si>
  <si>
    <t>HOEGAARDEN 24 X 25 CL-</t>
  </si>
  <si>
    <t>SPA GAZ 28 X 25 CL-</t>
  </si>
  <si>
    <t>VILLERS CITRON 6 X 1 LITRE-</t>
  </si>
  <si>
    <t>VILLERS ORANGE 6 X 1 LITRE-</t>
  </si>
  <si>
    <t>COCA COLA ZERO 6 X 1 L-</t>
  </si>
  <si>
    <t>0000000066</t>
  </si>
  <si>
    <t>ORVAL 1/3L X24</t>
  </si>
  <si>
    <t>0000000887</t>
  </si>
  <si>
    <t>COCA COLA 6 X 1 L</t>
  </si>
  <si>
    <t>0000000962</t>
  </si>
  <si>
    <t>RETOUR VIDANGE CASIER LIENNE 7.50 €</t>
  </si>
  <si>
    <t>LEFFE BRUNE 24 X 33 CL 18+6 GRATUITES-</t>
  </si>
  <si>
    <t>LOOZA TOUS 20CLX</t>
  </si>
  <si>
    <t>0000000018</t>
  </si>
  <si>
    <t>FONCEE PIED BOEUF 12 X 75 CL</t>
  </si>
  <si>
    <t>*** GRATUIT ***1 x</t>
  </si>
  <si>
    <t>0000000693</t>
  </si>
  <si>
    <t>ICE TEA GREEN 24 X 25 CL</t>
  </si>
  <si>
    <t>0000000114</t>
  </si>
  <si>
    <t>ICE TEA 24 X 33 CL CANS</t>
  </si>
  <si>
    <t>0000000115</t>
  </si>
  <si>
    <t>ICE TEA GREEN 24 X 33 CL CANS</t>
  </si>
  <si>
    <t>0000000116</t>
  </si>
  <si>
    <t>ICE TEA PECHE 24 X 33 CL CANS</t>
  </si>
  <si>
    <t>ORVAL 1/3L X</t>
  </si>
  <si>
    <t>ICE TEA REGULAR+ZERO 24 X 25CL-</t>
  </si>
  <si>
    <t>LOOZA TOUS 20CLX24-</t>
  </si>
  <si>
    <t>ST HUBERTUS BLONDE - AMBREE 12 X 33 C-</t>
  </si>
  <si>
    <t>SCHW EPPES MOJITO/PINK/SPRITZ 24 X 25 -</t>
  </si>
  <si>
    <t>SCHW EPPES  AGRUME &amp; LIGHT 24 x 25 CL-</t>
  </si>
  <si>
    <t>GINI 24 X 20 CL-</t>
  </si>
  <si>
    <t>FANTA ORANGE / LEMON 24 X 20 CL-</t>
  </si>
  <si>
    <t>SCHW EPPES TONIC 24 X 25 CL-</t>
  </si>
  <si>
    <t>CANADA DRY 24 X 25 CL-</t>
  </si>
  <si>
    <t>0000000031</t>
  </si>
  <si>
    <t>CARLSBERG 0.0 % 24 X 25 CL</t>
  </si>
  <si>
    <t>CONTRÔLE</t>
  </si>
  <si>
    <t>TVAC+Vid=9200.98</t>
  </si>
  <si>
    <t>PDF=9200.98</t>
  </si>
  <si>
    <t>✅ OK (écart=0)</t>
  </si>
  <si>
    <t>Dernier Prix Net</t>
  </si>
  <si>
    <t>Vid.livrées€</t>
  </si>
  <si>
    <t>Vid.reprises€</t>
  </si>
  <si>
    <t>Vid.nettes€</t>
  </si>
  <si>
    <t>Total 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</si>
</sst>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" fontId="0" fillId="0" borderId="0" xfId="0" applyNumberForma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15" customWidth="1"/>
    <col min="2" max="5" width="14" customWidth="1"/>
    <col min="6" max="6" width="12" customWidth="1"/>
    <col min="7" max="7" width="10" customWidth="1"/>
    <col min="8" max="9" width="12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2">
        <v>2680.9</v>
      </c>
      <c r="D2" s="2">
        <v>1153.46</v>
      </c>
      <c r="E2" s="2">
        <v>698.9</v>
      </c>
      <c r="F2" s="2">
        <v>242.23</v>
      </c>
      <c r="G2" s="2">
        <v>41.93</v>
      </c>
      <c r="H2" s="2">
        <v>544.38</v>
      </c>
      <c r="I2" s="2">
        <v>0</v>
      </c>
      <c r="J2">
        <v>85</v>
      </c>
    </row>
    <row r="3" spans="1:10" x14ac:dyDescent="0.25">
      <c r="A3" t="s">
        <v>12</v>
      </c>
      <c r="B3" t="s">
        <v>13</v>
      </c>
      <c r="C3" s="2">
        <v>424.81</v>
      </c>
      <c r="D3" s="2">
        <v>240.75</v>
      </c>
      <c r="E3" s="2">
        <v>0</v>
      </c>
      <c r="F3" s="2">
        <v>50.56</v>
      </c>
      <c r="G3" s="2">
        <v>0</v>
      </c>
      <c r="H3" s="2">
        <v>193.5</v>
      </c>
      <c r="I3" s="2">
        <v>-60</v>
      </c>
      <c r="J3">
        <v>4</v>
      </c>
    </row>
    <row r="4" spans="1:10" x14ac:dyDescent="0.25">
      <c r="A4" t="s">
        <v>14</v>
      </c>
      <c r="B4" t="s">
        <v>15</v>
      </c>
      <c r="C4" s="2">
        <v>1203.09</v>
      </c>
      <c r="D4" s="2">
        <v>703.79</v>
      </c>
      <c r="E4" s="2">
        <v>35.66</v>
      </c>
      <c r="F4" s="2">
        <v>147.8</v>
      </c>
      <c r="G4" s="2">
        <v>2.14</v>
      </c>
      <c r="H4" s="2">
        <v>313.7</v>
      </c>
      <c r="I4" s="2">
        <v>0</v>
      </c>
      <c r="J4">
        <v>6</v>
      </c>
    </row>
    <row r="5" spans="1:10" x14ac:dyDescent="0.25">
      <c r="A5" t="s">
        <v>16</v>
      </c>
      <c r="B5" t="s">
        <v>17</v>
      </c>
      <c r="C5" s="2">
        <v>774.45</v>
      </c>
      <c r="D5" s="2">
        <v>610.42</v>
      </c>
      <c r="E5" s="2">
        <v>49.49</v>
      </c>
      <c r="F5" s="2">
        <v>128.19</v>
      </c>
      <c r="G5" s="2">
        <v>2.97</v>
      </c>
      <c r="H5" s="2">
        <v>278.4</v>
      </c>
      <c r="I5" s="2">
        <v>-295.02</v>
      </c>
      <c r="J5">
        <v>19</v>
      </c>
    </row>
    <row r="6" spans="1:10" x14ac:dyDescent="0.25">
      <c r="A6" t="s">
        <v>18</v>
      </c>
      <c r="B6" t="s">
        <v>19</v>
      </c>
      <c r="C6" s="2">
        <v>-54.61</v>
      </c>
      <c r="D6" s="2">
        <v>-33.26</v>
      </c>
      <c r="E6" s="2">
        <v>-13.56</v>
      </c>
      <c r="F6" s="2">
        <v>-6.98</v>
      </c>
      <c r="G6" s="2">
        <v>-0.81</v>
      </c>
      <c r="H6" s="2">
        <v>0</v>
      </c>
      <c r="I6" s="2">
        <v>0</v>
      </c>
      <c r="J6">
        <v>38</v>
      </c>
    </row>
    <row r="7" spans="1:10" x14ac:dyDescent="0.25">
      <c r="A7" t="s">
        <v>20</v>
      </c>
      <c r="B7" t="s">
        <v>21</v>
      </c>
      <c r="C7" s="2">
        <v>587.3</v>
      </c>
      <c r="D7" s="2">
        <v>441.44</v>
      </c>
      <c r="E7" s="2">
        <v>101.75</v>
      </c>
      <c r="F7" s="2">
        <v>92.7</v>
      </c>
      <c r="G7" s="2">
        <v>6.11</v>
      </c>
      <c r="H7" s="2">
        <v>192.8</v>
      </c>
      <c r="I7" s="2">
        <v>-247.5</v>
      </c>
      <c r="J7">
        <v>14</v>
      </c>
    </row>
    <row r="8" spans="1:10" x14ac:dyDescent="0.25">
      <c r="A8" t="s">
        <v>22</v>
      </c>
      <c r="B8" t="s">
        <v>23</v>
      </c>
      <c r="C8" s="2">
        <v>345.95</v>
      </c>
      <c r="D8" s="2">
        <v>231.1</v>
      </c>
      <c r="E8" s="2">
        <v>29.55</v>
      </c>
      <c r="F8" s="2">
        <v>48.53</v>
      </c>
      <c r="G8" s="2">
        <v>1.77</v>
      </c>
      <c r="H8" s="2">
        <v>35</v>
      </c>
      <c r="I8" s="2">
        <v>0</v>
      </c>
      <c r="J8">
        <v>7</v>
      </c>
    </row>
    <row r="9" spans="1:10" x14ac:dyDescent="0.25">
      <c r="A9" t="s">
        <v>24</v>
      </c>
      <c r="B9" t="s">
        <v>25</v>
      </c>
      <c r="C9" s="2">
        <v>855.8</v>
      </c>
      <c r="D9" s="2">
        <v>586.06</v>
      </c>
      <c r="E9" s="2">
        <v>70.44</v>
      </c>
      <c r="F9" s="2">
        <v>123.07</v>
      </c>
      <c r="G9" s="2">
        <v>4.23</v>
      </c>
      <c r="H9" s="2">
        <v>278.5</v>
      </c>
      <c r="I9" s="2">
        <v>-206.5</v>
      </c>
      <c r="J9">
        <v>15</v>
      </c>
    </row>
    <row r="10" spans="1:10" x14ac:dyDescent="0.25">
      <c r="A10" t="s">
        <v>26</v>
      </c>
      <c r="B10" t="s">
        <v>27</v>
      </c>
      <c r="C10" s="2">
        <v>1369.31</v>
      </c>
      <c r="D10" s="2">
        <v>563.43</v>
      </c>
      <c r="E10" s="2">
        <v>668.74</v>
      </c>
      <c r="F10" s="2">
        <v>118.32</v>
      </c>
      <c r="G10" s="2">
        <v>40.12</v>
      </c>
      <c r="H10" s="2">
        <v>206.2</v>
      </c>
      <c r="I10" s="2">
        <v>-227.5</v>
      </c>
      <c r="J10">
        <v>30</v>
      </c>
    </row>
    <row r="11" spans="1:10" x14ac:dyDescent="0.25">
      <c r="A11" t="s">
        <v>28</v>
      </c>
      <c r="B11" t="s">
        <v>29</v>
      </c>
      <c r="C11" s="2">
        <v>542.03</v>
      </c>
      <c r="D11" s="2">
        <v>676.13</v>
      </c>
      <c r="E11" s="2">
        <v>-219.52</v>
      </c>
      <c r="F11" s="2">
        <v>141.99</v>
      </c>
      <c r="G11" s="2">
        <v>-13.17</v>
      </c>
      <c r="H11" s="2">
        <v>187.6</v>
      </c>
      <c r="I11" s="2">
        <v>-231</v>
      </c>
      <c r="J11">
        <v>21</v>
      </c>
    </row>
    <row r="12" spans="1:10" x14ac:dyDescent="0.25">
      <c r="A12" t="s">
        <v>30</v>
      </c>
      <c r="B12" t="s">
        <v>31</v>
      </c>
      <c r="C12" s="2">
        <v>471.95</v>
      </c>
      <c r="D12" s="2">
        <v>405.36</v>
      </c>
      <c r="E12" s="2">
        <v>58.92</v>
      </c>
      <c r="F12" s="2">
        <v>85.13</v>
      </c>
      <c r="G12" s="2">
        <v>3.54</v>
      </c>
      <c r="H12" s="2">
        <v>170</v>
      </c>
      <c r="I12" s="2">
        <v>-251</v>
      </c>
      <c r="J12">
        <v>13</v>
      </c>
    </row>
    <row r="13" spans="1:10" x14ac:dyDescent="0.25">
      <c r="A13" s="3" t="s">
        <v>32</v>
      </c>
      <c r="B13" s="3" t="s">
        <v>33</v>
      </c>
      <c r="C13" s="4">
        <f>SUM(C2:C12)</f>
      </c>
      <c r="D13" s="4">
        <f>SUM(D2:D12)</f>
      </c>
      <c r="E13" s="4">
        <f>SUM(E2:E12)</f>
      </c>
      <c r="F13" s="4">
        <f>SUM(F2:F12)</f>
      </c>
      <c r="G13" s="4">
        <f>SUM(G2:G12)</f>
      </c>
      <c r="H13" s="4">
        <f>SUM(H2:H12)</f>
      </c>
      <c r="I13" s="4">
        <f>SUM(I2:I12)</f>
      </c>
      <c r="J13" s="3">
        <f>SUM(J2:J12)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6"/>
  <sheetFormatPr defaultRowHeight="15" outlineLevelRow="0" outlineLevelCol="0" x14ac:dyDescent="55"/>
  <cols>
    <col min="1" max="1" width="14" customWidth="1"/>
    <col min="2" max="3" width="12" customWidth="1"/>
    <col min="4" max="4" width="50" customWidth="1"/>
    <col min="5" max="6" width="10" customWidth="1"/>
    <col min="7" max="8" width="12" customWidth="1"/>
    <col min="9" max="9" width="10" customWidth="1"/>
    <col min="10" max="11" width="12" customWidth="1"/>
    <col min="12" max="13" width="10" customWidth="1"/>
    <col min="14" max="14" width="8" customWidth="1"/>
    <col min="15" max="15" width="14" customWidth="1"/>
    <col min="16" max="17" width="12" customWidth="1"/>
  </cols>
  <sheetData>
    <row r="1" spans="1:17" x14ac:dyDescent="0.2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</row>
    <row r="2" spans="1:17" x14ac:dyDescent="0.25">
      <c r="A2" t="s">
        <v>10</v>
      </c>
      <c r="B2" t="s">
        <v>11</v>
      </c>
      <c r="C2" t="s">
        <v>49</v>
      </c>
      <c r="D2" t="s">
        <v>50</v>
      </c>
      <c r="E2">
        <v>1</v>
      </c>
      <c r="F2">
        <v>1</v>
      </c>
      <c r="G2" s="5">
        <v>49.672</v>
      </c>
      <c r="H2" s="5"/>
      <c r="J2" s="5">
        <v>49.672</v>
      </c>
      <c r="K2" s="5">
        <v>49.67</v>
      </c>
      <c r="L2" s="5">
        <v>120</v>
      </c>
      <c r="M2" s="5">
        <v>120</v>
      </c>
      <c r="N2" t="s">
        <v>51</v>
      </c>
      <c r="O2" t="s">
        <v>52</v>
      </c>
      <c r="P2" s="2">
        <v>10.43</v>
      </c>
      <c r="Q2" s="2">
        <v>60.1</v>
      </c>
    </row>
    <row r="3" spans="1:17" x14ac:dyDescent="0.25">
      <c r="A3" t="s">
        <v>10</v>
      </c>
      <c r="B3" t="s">
        <v>11</v>
      </c>
      <c r="C3" t="s">
        <v>53</v>
      </c>
      <c r="D3" t="s">
        <v>54</v>
      </c>
      <c r="E3">
        <v>3</v>
      </c>
      <c r="F3">
        <v>3</v>
      </c>
      <c r="G3" s="5">
        <v>70.415</v>
      </c>
      <c r="H3" s="5">
        <v>4.105</v>
      </c>
      <c r="I3" s="6">
        <v>5</v>
      </c>
      <c r="J3" s="5">
        <v>67.099</v>
      </c>
      <c r="K3" s="5">
        <v>201.3</v>
      </c>
      <c r="L3" s="5">
        <v>30</v>
      </c>
      <c r="M3" s="5">
        <v>90</v>
      </c>
      <c r="N3" t="s">
        <v>51</v>
      </c>
      <c r="O3" t="s">
        <v>52</v>
      </c>
      <c r="P3" s="2">
        <v>42.27</v>
      </c>
      <c r="Q3" s="2">
        <v>243.57</v>
      </c>
    </row>
    <row r="4" spans="1:17" x14ac:dyDescent="0.25">
      <c r="A4" t="s">
        <v>10</v>
      </c>
      <c r="B4" t="s">
        <v>11</v>
      </c>
      <c r="C4" t="s">
        <v>55</v>
      </c>
      <c r="D4" t="s">
        <v>56</v>
      </c>
      <c r="E4">
        <v>2</v>
      </c>
      <c r="F4">
        <v>2</v>
      </c>
      <c r="G4" s="5">
        <v>88.766</v>
      </c>
      <c r="H4" s="5">
        <v>6.69</v>
      </c>
      <c r="I4" s="6">
        <v>5</v>
      </c>
      <c r="J4" s="5">
        <v>84.662</v>
      </c>
      <c r="K4" s="5">
        <v>169.32</v>
      </c>
      <c r="L4" s="5">
        <v>60</v>
      </c>
      <c r="M4" s="5">
        <v>120</v>
      </c>
      <c r="N4" t="s">
        <v>51</v>
      </c>
      <c r="O4" t="s">
        <v>52</v>
      </c>
      <c r="P4" s="2">
        <v>35.56</v>
      </c>
      <c r="Q4" s="2">
        <v>204.88</v>
      </c>
    </row>
    <row r="5" spans="1:17" x14ac:dyDescent="0.25">
      <c r="A5" t="s">
        <v>10</v>
      </c>
      <c r="B5" t="s">
        <v>11</v>
      </c>
      <c r="C5" t="s">
        <v>57</v>
      </c>
      <c r="D5" t="s">
        <v>58</v>
      </c>
      <c r="E5">
        <v>1</v>
      </c>
      <c r="F5">
        <v>24</v>
      </c>
      <c r="G5" s="5">
        <v>24.36</v>
      </c>
      <c r="H5" s="5">
        <v>2.101</v>
      </c>
      <c r="J5" s="5">
        <v>24.36</v>
      </c>
      <c r="K5" s="5">
        <v>24.36</v>
      </c>
      <c r="L5" s="5">
        <v>4.5</v>
      </c>
      <c r="M5" s="5">
        <v>4.5</v>
      </c>
      <c r="N5" t="s">
        <v>51</v>
      </c>
      <c r="O5" t="s">
        <v>52</v>
      </c>
      <c r="P5" s="2">
        <v>5.12</v>
      </c>
      <c r="Q5" s="2">
        <v>29.48</v>
      </c>
    </row>
    <row r="6" spans="1:17" x14ac:dyDescent="0.25">
      <c r="A6" t="s">
        <v>10</v>
      </c>
      <c r="B6" t="s">
        <v>11</v>
      </c>
      <c r="C6" t="s">
        <v>59</v>
      </c>
      <c r="D6" t="s">
        <v>60</v>
      </c>
      <c r="E6">
        <v>1</v>
      </c>
      <c r="F6">
        <v>24</v>
      </c>
      <c r="G6" s="5">
        <v>24.36</v>
      </c>
      <c r="H6" s="5">
        <v>2.101</v>
      </c>
      <c r="J6" s="5">
        <v>24.36</v>
      </c>
      <c r="K6" s="5">
        <v>24.36</v>
      </c>
      <c r="L6" s="5">
        <v>4.5</v>
      </c>
      <c r="M6" s="5">
        <v>4.5</v>
      </c>
      <c r="N6" t="s">
        <v>51</v>
      </c>
      <c r="O6" t="s">
        <v>52</v>
      </c>
      <c r="P6" s="2">
        <v>5.12</v>
      </c>
      <c r="Q6" s="2">
        <v>29.48</v>
      </c>
    </row>
    <row r="7" spans="1:17" x14ac:dyDescent="0.25">
      <c r="A7" t="s">
        <v>10</v>
      </c>
      <c r="B7" t="s">
        <v>11</v>
      </c>
      <c r="C7" t="s">
        <v>61</v>
      </c>
      <c r="D7" t="s">
        <v>62</v>
      </c>
      <c r="E7">
        <v>1</v>
      </c>
      <c r="F7">
        <v>12</v>
      </c>
      <c r="G7" s="5">
        <v>21.552</v>
      </c>
      <c r="H7" s="5">
        <v>1.207</v>
      </c>
      <c r="J7" s="5">
        <v>21.552</v>
      </c>
      <c r="K7" s="5">
        <v>21.55</v>
      </c>
      <c r="L7" s="5">
        <v>4.5</v>
      </c>
      <c r="M7" s="5">
        <v>4.5</v>
      </c>
      <c r="N7" t="s">
        <v>51</v>
      </c>
      <c r="O7" t="s">
        <v>52</v>
      </c>
      <c r="P7" s="2">
        <v>4.53</v>
      </c>
      <c r="Q7" s="2">
        <v>26.08</v>
      </c>
    </row>
    <row r="8" spans="1:17" x14ac:dyDescent="0.25">
      <c r="A8" t="s">
        <v>10</v>
      </c>
      <c r="B8" t="s">
        <v>11</v>
      </c>
      <c r="C8" t="s">
        <v>63</v>
      </c>
      <c r="D8" t="s">
        <v>64</v>
      </c>
      <c r="E8">
        <v>1</v>
      </c>
      <c r="F8">
        <v>24</v>
      </c>
      <c r="G8" s="5">
        <v>22.104</v>
      </c>
      <c r="H8" s="5">
        <v>1.613</v>
      </c>
      <c r="J8" s="5">
        <v>22.104</v>
      </c>
      <c r="K8" s="5">
        <v>22.1</v>
      </c>
      <c r="L8" s="5">
        <v>4.5</v>
      </c>
      <c r="M8" s="5">
        <v>4.5</v>
      </c>
      <c r="N8" t="s">
        <v>51</v>
      </c>
      <c r="O8" t="s">
        <v>52</v>
      </c>
      <c r="P8" s="2">
        <v>4.64</v>
      </c>
      <c r="Q8" s="2">
        <v>26.74</v>
      </c>
    </row>
    <row r="9" spans="1:17" x14ac:dyDescent="0.25">
      <c r="A9" t="s">
        <v>10</v>
      </c>
      <c r="B9" t="s">
        <v>11</v>
      </c>
      <c r="C9" t="s">
        <v>65</v>
      </c>
      <c r="D9" t="s">
        <v>66</v>
      </c>
      <c r="E9">
        <v>1</v>
      </c>
      <c r="F9">
        <v>24</v>
      </c>
      <c r="G9" s="5">
        <v>26.88</v>
      </c>
      <c r="H9" s="5">
        <v>1.287</v>
      </c>
      <c r="J9" s="5">
        <v>26.88</v>
      </c>
      <c r="K9" s="5">
        <v>26.88</v>
      </c>
      <c r="L9" s="5">
        <v>4.5</v>
      </c>
      <c r="M9" s="5">
        <v>4.5</v>
      </c>
      <c r="N9" t="s">
        <v>51</v>
      </c>
      <c r="O9" t="s">
        <v>52</v>
      </c>
      <c r="P9" s="2">
        <v>5.64</v>
      </c>
      <c r="Q9" s="2">
        <v>32.52</v>
      </c>
    </row>
    <row r="10" spans="1:17" x14ac:dyDescent="0.25">
      <c r="A10" t="s">
        <v>10</v>
      </c>
      <c r="B10" t="s">
        <v>11</v>
      </c>
      <c r="C10" t="s">
        <v>67</v>
      </c>
      <c r="D10" t="s">
        <v>68</v>
      </c>
      <c r="E10">
        <v>1</v>
      </c>
      <c r="F10">
        <v>24</v>
      </c>
      <c r="G10" s="5">
        <v>43.632</v>
      </c>
      <c r="H10" s="5">
        <v>3.039</v>
      </c>
      <c r="J10" s="5">
        <v>43.632</v>
      </c>
      <c r="K10" s="5">
        <v>43.63</v>
      </c>
      <c r="L10" s="5">
        <v>4.5</v>
      </c>
      <c r="M10" s="5">
        <v>4.5</v>
      </c>
      <c r="N10" t="s">
        <v>51</v>
      </c>
      <c r="O10" t="s">
        <v>52</v>
      </c>
      <c r="P10" s="2">
        <v>9.16</v>
      </c>
      <c r="Q10" s="2">
        <v>52.79</v>
      </c>
    </row>
    <row r="11" spans="1:17" x14ac:dyDescent="0.25">
      <c r="A11" t="s">
        <v>10</v>
      </c>
      <c r="B11" t="s">
        <v>11</v>
      </c>
      <c r="C11" t="s">
        <v>69</v>
      </c>
      <c r="D11" t="s">
        <v>70</v>
      </c>
      <c r="E11">
        <v>1</v>
      </c>
      <c r="F11">
        <v>24</v>
      </c>
      <c r="G11" s="5">
        <v>43.344</v>
      </c>
      <c r="H11" s="5">
        <v>2.763</v>
      </c>
      <c r="J11" s="5">
        <v>43.344</v>
      </c>
      <c r="K11" s="5">
        <v>43.34</v>
      </c>
      <c r="L11" s="5">
        <v>4.5</v>
      </c>
      <c r="M11" s="5">
        <v>4.5</v>
      </c>
      <c r="N11" t="s">
        <v>51</v>
      </c>
      <c r="O11" t="s">
        <v>52</v>
      </c>
      <c r="P11" s="2">
        <v>9.1</v>
      </c>
      <c r="Q11" s="2">
        <v>52.44</v>
      </c>
    </row>
    <row r="12" spans="1:17" x14ac:dyDescent="0.25">
      <c r="A12" t="s">
        <v>10</v>
      </c>
      <c r="B12" t="s">
        <v>11</v>
      </c>
      <c r="C12" t="s">
        <v>71</v>
      </c>
      <c r="D12" t="s">
        <v>72</v>
      </c>
      <c r="E12">
        <v>1</v>
      </c>
      <c r="F12">
        <v>24</v>
      </c>
      <c r="G12" s="5">
        <v>35.472</v>
      </c>
      <c r="H12" s="5">
        <v>2.764</v>
      </c>
      <c r="J12" s="5">
        <v>35.472</v>
      </c>
      <c r="K12" s="5">
        <v>35.47</v>
      </c>
      <c r="L12" s="5">
        <v>4.5</v>
      </c>
      <c r="M12" s="5">
        <v>4.5</v>
      </c>
      <c r="N12" t="s">
        <v>51</v>
      </c>
      <c r="O12" t="s">
        <v>52</v>
      </c>
      <c r="P12" s="2">
        <v>7.45</v>
      </c>
      <c r="Q12" s="2">
        <v>42.92</v>
      </c>
    </row>
    <row r="13" spans="1:17" x14ac:dyDescent="0.25">
      <c r="A13" t="s">
        <v>10</v>
      </c>
      <c r="B13" t="s">
        <v>11</v>
      </c>
      <c r="C13" t="s">
        <v>73</v>
      </c>
      <c r="D13" t="s">
        <v>74</v>
      </c>
      <c r="E13">
        <v>1</v>
      </c>
      <c r="F13">
        <v>24</v>
      </c>
      <c r="G13" s="5">
        <v>37.608</v>
      </c>
      <c r="H13" s="5">
        <v>3.081</v>
      </c>
      <c r="J13" s="5">
        <v>37.608</v>
      </c>
      <c r="K13" s="5">
        <v>37.61</v>
      </c>
      <c r="L13" s="5">
        <v>4.5</v>
      </c>
      <c r="M13" s="5">
        <v>4.5</v>
      </c>
      <c r="N13" t="s">
        <v>51</v>
      </c>
      <c r="O13" t="s">
        <v>52</v>
      </c>
      <c r="P13" s="2">
        <v>7.9</v>
      </c>
      <c r="Q13" s="2">
        <v>45.51</v>
      </c>
    </row>
    <row r="14" spans="1:17" x14ac:dyDescent="0.25">
      <c r="A14" t="s">
        <v>10</v>
      </c>
      <c r="B14" t="s">
        <v>11</v>
      </c>
      <c r="C14" t="s">
        <v>75</v>
      </c>
      <c r="D14" t="s">
        <v>76</v>
      </c>
      <c r="E14">
        <v>1</v>
      </c>
      <c r="F14">
        <v>24</v>
      </c>
      <c r="G14" s="5">
        <v>38.663</v>
      </c>
      <c r="H14" s="5">
        <v>2.762</v>
      </c>
      <c r="J14" s="5">
        <v>38.663</v>
      </c>
      <c r="K14" s="5">
        <v>38.66</v>
      </c>
      <c r="L14" s="5">
        <v>8.52</v>
      </c>
      <c r="M14" s="5">
        <v>8.52</v>
      </c>
      <c r="N14" t="s">
        <v>51</v>
      </c>
      <c r="O14" t="s">
        <v>52</v>
      </c>
      <c r="P14" s="2">
        <v>8.12</v>
      </c>
      <c r="Q14" s="2">
        <v>46.78</v>
      </c>
    </row>
    <row r="15" spans="1:17" x14ac:dyDescent="0.25">
      <c r="A15" t="s">
        <v>10</v>
      </c>
      <c r="B15" t="s">
        <v>11</v>
      </c>
      <c r="C15" t="s">
        <v>77</v>
      </c>
      <c r="D15" t="s">
        <v>78</v>
      </c>
      <c r="E15">
        <v>1</v>
      </c>
      <c r="F15">
        <v>24</v>
      </c>
      <c r="G15" s="5">
        <v>32.712</v>
      </c>
      <c r="H15" s="5">
        <v>2.467</v>
      </c>
      <c r="J15" s="5">
        <v>32.712</v>
      </c>
      <c r="K15" s="5">
        <v>32.71</v>
      </c>
      <c r="L15" s="5">
        <v>4.5</v>
      </c>
      <c r="M15" s="5">
        <v>4.5</v>
      </c>
      <c r="N15" t="s">
        <v>51</v>
      </c>
      <c r="O15" t="s">
        <v>52</v>
      </c>
      <c r="P15" s="2">
        <v>6.87</v>
      </c>
      <c r="Q15" s="2">
        <v>39.58</v>
      </c>
    </row>
    <row r="16" spans="1:17" x14ac:dyDescent="0.25">
      <c r="A16" t="s">
        <v>10</v>
      </c>
      <c r="B16" t="s">
        <v>11</v>
      </c>
      <c r="C16" t="s">
        <v>79</v>
      </c>
      <c r="D16" t="s">
        <v>80</v>
      </c>
      <c r="E16">
        <v>1</v>
      </c>
      <c r="F16">
        <v>24</v>
      </c>
      <c r="G16" s="5">
        <v>38.472</v>
      </c>
      <c r="H16" s="5">
        <v>2.467</v>
      </c>
      <c r="J16" s="5">
        <v>38.472</v>
      </c>
      <c r="K16" s="5">
        <v>38.47</v>
      </c>
      <c r="L16" s="5">
        <v>4.5</v>
      </c>
      <c r="M16" s="5">
        <v>4.5</v>
      </c>
      <c r="N16" t="s">
        <v>51</v>
      </c>
      <c r="O16" t="s">
        <v>52</v>
      </c>
      <c r="P16" s="2">
        <v>8.08</v>
      </c>
      <c r="Q16" s="2">
        <v>46.55</v>
      </c>
    </row>
    <row r="17" spans="1:17" x14ac:dyDescent="0.25">
      <c r="A17" t="s">
        <v>10</v>
      </c>
      <c r="B17" t="s">
        <v>11</v>
      </c>
      <c r="C17" t="s">
        <v>81</v>
      </c>
      <c r="D17" t="s">
        <v>82</v>
      </c>
      <c r="E17">
        <v>1</v>
      </c>
      <c r="F17">
        <v>24</v>
      </c>
      <c r="G17" s="5">
        <v>34.8</v>
      </c>
      <c r="H17" s="5">
        <v>2.763</v>
      </c>
      <c r="J17" s="5">
        <v>34.8</v>
      </c>
      <c r="K17" s="5">
        <v>34.8</v>
      </c>
      <c r="L17" s="5">
        <v>4.5</v>
      </c>
      <c r="M17" s="5">
        <v>4.5</v>
      </c>
      <c r="N17" t="s">
        <v>51</v>
      </c>
      <c r="O17" t="s">
        <v>52</v>
      </c>
      <c r="P17" s="2">
        <v>7.31</v>
      </c>
      <c r="Q17" s="2">
        <v>42.11</v>
      </c>
    </row>
    <row r="18" spans="1:17" x14ac:dyDescent="0.25">
      <c r="A18" t="s">
        <v>10</v>
      </c>
      <c r="B18" t="s">
        <v>11</v>
      </c>
      <c r="C18" t="s">
        <v>83</v>
      </c>
      <c r="D18" t="s">
        <v>84</v>
      </c>
      <c r="E18">
        <v>1</v>
      </c>
      <c r="F18">
        <v>24</v>
      </c>
      <c r="G18" s="5">
        <v>30.528</v>
      </c>
      <c r="H18" s="5">
        <v>1.829</v>
      </c>
      <c r="J18" s="5">
        <v>30.528</v>
      </c>
      <c r="K18" s="5">
        <v>30.53</v>
      </c>
      <c r="L18" s="5">
        <v>4.5</v>
      </c>
      <c r="M18" s="5">
        <v>4.5</v>
      </c>
      <c r="N18" t="s">
        <v>51</v>
      </c>
      <c r="O18" t="s">
        <v>52</v>
      </c>
      <c r="P18" s="2">
        <v>6.41</v>
      </c>
      <c r="Q18" s="2">
        <v>36.94</v>
      </c>
    </row>
    <row r="19" spans="1:17" x14ac:dyDescent="0.25">
      <c r="A19" t="s">
        <v>10</v>
      </c>
      <c r="B19" t="s">
        <v>11</v>
      </c>
      <c r="C19" t="s">
        <v>85</v>
      </c>
      <c r="D19" t="s">
        <v>86</v>
      </c>
      <c r="G19" s="5">
        <v>1.724</v>
      </c>
      <c r="H19" s="5">
        <v>0.115</v>
      </c>
      <c r="J19" s="5">
        <v>1.724</v>
      </c>
      <c r="K19" s="5"/>
      <c r="L19" s="5"/>
      <c r="M19" s="5"/>
      <c r="N19" t="s">
        <v>33</v>
      </c>
      <c r="O19" t="s">
        <v>52</v>
      </c>
      <c r="P19" s="2"/>
      <c r="Q19" s="2"/>
    </row>
    <row r="20" spans="1:17" x14ac:dyDescent="0.25">
      <c r="A20" t="s">
        <v>10</v>
      </c>
      <c r="B20" t="s">
        <v>11</v>
      </c>
      <c r="C20" t="s">
        <v>85</v>
      </c>
      <c r="D20" t="s">
        <v>87</v>
      </c>
      <c r="E20">
        <v>1</v>
      </c>
      <c r="F20">
        <v>1</v>
      </c>
      <c r="G20" s="5"/>
      <c r="H20" s="5"/>
      <c r="J20" s="5"/>
      <c r="K20" s="5"/>
      <c r="L20" s="5">
        <v>0.08</v>
      </c>
      <c r="M20" s="5">
        <v>0.08</v>
      </c>
      <c r="N20" t="s">
        <v>51</v>
      </c>
      <c r="O20" t="s">
        <v>88</v>
      </c>
      <c r="P20" s="2"/>
      <c r="Q20" s="2"/>
    </row>
    <row r="21" spans="1:17" x14ac:dyDescent="0.25">
      <c r="A21" t="s">
        <v>10</v>
      </c>
      <c r="B21" t="s">
        <v>11</v>
      </c>
      <c r="C21" t="s">
        <v>89</v>
      </c>
      <c r="D21" t="s">
        <v>90</v>
      </c>
      <c r="G21" s="5">
        <v>1.47</v>
      </c>
      <c r="H21" s="5">
        <v>0.09</v>
      </c>
      <c r="J21" s="5">
        <v>1.47</v>
      </c>
      <c r="K21" s="5"/>
      <c r="L21" s="5"/>
      <c r="M21" s="5"/>
      <c r="N21" t="s">
        <v>33</v>
      </c>
      <c r="O21" t="s">
        <v>52</v>
      </c>
      <c r="P21" s="2"/>
      <c r="Q21" s="2"/>
    </row>
    <row r="22" spans="1:17" x14ac:dyDescent="0.25">
      <c r="A22" t="s">
        <v>10</v>
      </c>
      <c r="B22" t="s">
        <v>11</v>
      </c>
      <c r="C22" t="s">
        <v>89</v>
      </c>
      <c r="D22" t="s">
        <v>87</v>
      </c>
      <c r="E22">
        <v>1</v>
      </c>
      <c r="F22">
        <v>1</v>
      </c>
      <c r="G22" s="5"/>
      <c r="H22" s="5"/>
      <c r="J22" s="5"/>
      <c r="K22" s="5"/>
      <c r="L22" s="5">
        <v>0.1</v>
      </c>
      <c r="M22" s="5">
        <v>0.1</v>
      </c>
      <c r="N22" t="s">
        <v>51</v>
      </c>
      <c r="O22" t="s">
        <v>88</v>
      </c>
      <c r="P22" s="2"/>
      <c r="Q22" s="2"/>
    </row>
    <row r="23" spans="1:17" x14ac:dyDescent="0.25">
      <c r="A23" t="s">
        <v>10</v>
      </c>
      <c r="B23" t="s">
        <v>11</v>
      </c>
      <c r="C23" t="s">
        <v>91</v>
      </c>
      <c r="D23" t="s">
        <v>92</v>
      </c>
      <c r="G23" s="5">
        <v>1.611</v>
      </c>
      <c r="H23" s="5">
        <v>0.09</v>
      </c>
      <c r="J23" s="5">
        <v>1.611</v>
      </c>
      <c r="K23" s="5"/>
      <c r="L23" s="5"/>
      <c r="M23" s="5"/>
      <c r="N23" t="s">
        <v>33</v>
      </c>
      <c r="O23" t="s">
        <v>52</v>
      </c>
      <c r="P23" s="2"/>
      <c r="Q23" s="2"/>
    </row>
    <row r="24" spans="1:17" x14ac:dyDescent="0.25">
      <c r="A24" t="s">
        <v>10</v>
      </c>
      <c r="B24" t="s">
        <v>11</v>
      </c>
      <c r="C24" t="s">
        <v>91</v>
      </c>
      <c r="D24" t="s">
        <v>87</v>
      </c>
      <c r="E24">
        <v>1</v>
      </c>
      <c r="F24">
        <v>1</v>
      </c>
      <c r="G24" s="5"/>
      <c r="H24" s="5"/>
      <c r="J24" s="5"/>
      <c r="K24" s="5"/>
      <c r="L24" s="5">
        <v>0.1</v>
      </c>
      <c r="M24" s="5">
        <v>0.1</v>
      </c>
      <c r="N24" t="s">
        <v>51</v>
      </c>
      <c r="O24" t="s">
        <v>88</v>
      </c>
      <c r="P24" s="2"/>
      <c r="Q24" s="2"/>
    </row>
    <row r="25" spans="1:17" x14ac:dyDescent="0.25">
      <c r="A25" t="s">
        <v>10</v>
      </c>
      <c r="B25" t="s">
        <v>11</v>
      </c>
      <c r="C25" t="s">
        <v>93</v>
      </c>
      <c r="D25" t="s">
        <v>94</v>
      </c>
      <c r="G25" s="5">
        <v>1.711</v>
      </c>
      <c r="H25" s="5">
        <v>0.11</v>
      </c>
      <c r="J25" s="5">
        <v>1.711</v>
      </c>
      <c r="K25" s="5"/>
      <c r="L25" s="5"/>
      <c r="M25" s="5"/>
      <c r="N25" t="s">
        <v>33</v>
      </c>
      <c r="O25" t="s">
        <v>52</v>
      </c>
      <c r="P25" s="2"/>
      <c r="Q25" s="2"/>
    </row>
    <row r="26" spans="1:17" x14ac:dyDescent="0.25">
      <c r="A26" t="s">
        <v>10</v>
      </c>
      <c r="B26" t="s">
        <v>11</v>
      </c>
      <c r="C26" t="s">
        <v>93</v>
      </c>
      <c r="D26" t="s">
        <v>87</v>
      </c>
      <c r="E26">
        <v>1</v>
      </c>
      <c r="F26">
        <v>1</v>
      </c>
      <c r="G26" s="5"/>
      <c r="H26" s="5"/>
      <c r="J26" s="5"/>
      <c r="K26" s="5"/>
      <c r="L26" s="5">
        <v>0.08</v>
      </c>
      <c r="M26" s="5">
        <v>0.08</v>
      </c>
      <c r="N26" t="s">
        <v>51</v>
      </c>
      <c r="O26" t="s">
        <v>88</v>
      </c>
      <c r="P26" s="2"/>
      <c r="Q26" s="2"/>
    </row>
    <row r="27" spans="1:17" x14ac:dyDescent="0.25">
      <c r="A27" t="s">
        <v>10</v>
      </c>
      <c r="B27" t="s">
        <v>11</v>
      </c>
      <c r="C27" t="s">
        <v>95</v>
      </c>
      <c r="D27" t="s">
        <v>96</v>
      </c>
      <c r="E27">
        <v>1</v>
      </c>
      <c r="F27">
        <v>24</v>
      </c>
      <c r="G27" s="5">
        <v>18.432</v>
      </c>
      <c r="H27" s="5">
        <v>0.394</v>
      </c>
      <c r="J27" s="5">
        <v>18.432</v>
      </c>
      <c r="K27" s="5">
        <v>18.43</v>
      </c>
      <c r="L27" s="5">
        <v>4.5</v>
      </c>
      <c r="M27" s="5">
        <v>4.5</v>
      </c>
      <c r="N27" t="s">
        <v>97</v>
      </c>
      <c r="O27" t="s">
        <v>52</v>
      </c>
      <c r="P27" s="2">
        <v>1.11</v>
      </c>
      <c r="Q27" s="2">
        <v>19.54</v>
      </c>
    </row>
    <row r="28" spans="1:17" x14ac:dyDescent="0.25">
      <c r="A28" t="s">
        <v>10</v>
      </c>
      <c r="B28" t="s">
        <v>11</v>
      </c>
      <c r="C28" t="s">
        <v>98</v>
      </c>
      <c r="D28" t="s">
        <v>99</v>
      </c>
      <c r="E28">
        <v>2</v>
      </c>
      <c r="F28">
        <v>56</v>
      </c>
      <c r="G28" s="5">
        <v>9.268</v>
      </c>
      <c r="H28" s="5">
        <v>0.164</v>
      </c>
      <c r="J28" s="5">
        <v>9.268</v>
      </c>
      <c r="K28" s="5">
        <v>18.54</v>
      </c>
      <c r="L28" s="5">
        <v>5</v>
      </c>
      <c r="M28" s="5">
        <v>10</v>
      </c>
      <c r="N28" t="s">
        <v>97</v>
      </c>
      <c r="O28" t="s">
        <v>52</v>
      </c>
      <c r="P28" s="2">
        <v>1.11</v>
      </c>
      <c r="Q28" s="2">
        <v>19.65</v>
      </c>
    </row>
    <row r="29" spans="1:17" x14ac:dyDescent="0.25">
      <c r="A29" t="s">
        <v>10</v>
      </c>
      <c r="B29" t="s">
        <v>11</v>
      </c>
      <c r="C29" t="s">
        <v>100</v>
      </c>
      <c r="D29" t="s">
        <v>101</v>
      </c>
      <c r="E29">
        <v>3</v>
      </c>
      <c r="F29">
        <v>84</v>
      </c>
      <c r="G29" s="5">
        <v>9.268</v>
      </c>
      <c r="H29" s="5">
        <v>0.178</v>
      </c>
      <c r="J29" s="5">
        <v>9.268</v>
      </c>
      <c r="K29" s="5">
        <v>27.8</v>
      </c>
      <c r="L29" s="5">
        <v>5</v>
      </c>
      <c r="M29" s="5">
        <v>15</v>
      </c>
      <c r="N29" t="s">
        <v>97</v>
      </c>
      <c r="O29" t="s">
        <v>52</v>
      </c>
      <c r="P29" s="2">
        <v>1.67</v>
      </c>
      <c r="Q29" s="2">
        <v>29.47</v>
      </c>
    </row>
    <row r="30" spans="1:17" x14ac:dyDescent="0.25">
      <c r="A30" t="s">
        <v>10</v>
      </c>
      <c r="B30" t="s">
        <v>11</v>
      </c>
      <c r="C30" t="s">
        <v>102</v>
      </c>
      <c r="D30" t="s">
        <v>103</v>
      </c>
      <c r="E30">
        <v>2</v>
      </c>
      <c r="F30">
        <v>48</v>
      </c>
      <c r="G30" s="5">
        <v>25.368</v>
      </c>
      <c r="H30" s="5">
        <v>0.885</v>
      </c>
      <c r="J30" s="5">
        <v>25.368</v>
      </c>
      <c r="K30" s="5">
        <v>50.74</v>
      </c>
      <c r="L30" s="5">
        <v>5.5</v>
      </c>
      <c r="M30" s="5">
        <v>11</v>
      </c>
      <c r="N30" t="s">
        <v>97</v>
      </c>
      <c r="O30" t="s">
        <v>52</v>
      </c>
      <c r="P30" s="2">
        <v>3.04</v>
      </c>
      <c r="Q30" s="2">
        <v>53.78</v>
      </c>
    </row>
    <row r="31" spans="1:17" x14ac:dyDescent="0.25">
      <c r="A31" t="s">
        <v>10</v>
      </c>
      <c r="B31" t="s">
        <v>11</v>
      </c>
      <c r="C31" t="s">
        <v>104</v>
      </c>
      <c r="D31" t="s">
        <v>105</v>
      </c>
      <c r="E31">
        <v>1</v>
      </c>
      <c r="F31">
        <v>24</v>
      </c>
      <c r="G31" s="5">
        <v>24.888</v>
      </c>
      <c r="H31" s="5">
        <v>0.885</v>
      </c>
      <c r="J31" s="5">
        <v>24.888</v>
      </c>
      <c r="K31" s="5">
        <v>24.89</v>
      </c>
      <c r="L31" s="5">
        <v>5.5</v>
      </c>
      <c r="M31" s="5">
        <v>5.5</v>
      </c>
      <c r="N31" t="s">
        <v>97</v>
      </c>
      <c r="O31" t="s">
        <v>52</v>
      </c>
      <c r="P31" s="2">
        <v>1.49</v>
      </c>
      <c r="Q31" s="2">
        <v>26.38</v>
      </c>
    </row>
    <row r="32" spans="1:17" x14ac:dyDescent="0.25">
      <c r="A32" t="s">
        <v>10</v>
      </c>
      <c r="B32" t="s">
        <v>11</v>
      </c>
      <c r="C32" t="s">
        <v>106</v>
      </c>
      <c r="D32" t="s">
        <v>107</v>
      </c>
      <c r="E32">
        <v>1</v>
      </c>
      <c r="F32">
        <v>24</v>
      </c>
      <c r="G32" s="5">
        <v>22.296</v>
      </c>
      <c r="H32" s="5">
        <v>0.708</v>
      </c>
      <c r="J32" s="5">
        <v>22.296</v>
      </c>
      <c r="K32" s="5">
        <v>22.3</v>
      </c>
      <c r="L32" s="5">
        <v>4.5</v>
      </c>
      <c r="M32" s="5">
        <v>4.5</v>
      </c>
      <c r="N32" t="s">
        <v>97</v>
      </c>
      <c r="O32" t="s">
        <v>52</v>
      </c>
      <c r="P32" s="2">
        <v>1.34</v>
      </c>
      <c r="Q32" s="2">
        <v>23.64</v>
      </c>
    </row>
    <row r="33" spans="1:17" x14ac:dyDescent="0.25">
      <c r="A33" t="s">
        <v>10</v>
      </c>
      <c r="B33" t="s">
        <v>11</v>
      </c>
      <c r="C33" t="s">
        <v>108</v>
      </c>
      <c r="D33" t="s">
        <v>109</v>
      </c>
      <c r="E33">
        <v>1</v>
      </c>
      <c r="F33">
        <v>24</v>
      </c>
      <c r="G33" s="5">
        <v>26.016</v>
      </c>
      <c r="H33" s="5">
        <v>0.331</v>
      </c>
      <c r="J33" s="5">
        <v>26.016</v>
      </c>
      <c r="K33" s="5">
        <v>26.02</v>
      </c>
      <c r="L33" s="5">
        <v>4.5</v>
      </c>
      <c r="M33" s="5">
        <v>4.5</v>
      </c>
      <c r="N33" t="s">
        <v>97</v>
      </c>
      <c r="O33" t="s">
        <v>52</v>
      </c>
      <c r="P33" s="2">
        <v>1.56</v>
      </c>
      <c r="Q33" s="2">
        <v>27.58</v>
      </c>
    </row>
    <row r="34" spans="1:17" x14ac:dyDescent="0.25">
      <c r="A34" t="s">
        <v>10</v>
      </c>
      <c r="B34" t="s">
        <v>11</v>
      </c>
      <c r="C34" t="s">
        <v>110</v>
      </c>
      <c r="D34" t="s">
        <v>111</v>
      </c>
      <c r="E34">
        <v>1</v>
      </c>
      <c r="F34">
        <v>24</v>
      </c>
      <c r="G34" s="5">
        <v>25.464</v>
      </c>
      <c r="H34" s="5">
        <v>0.885</v>
      </c>
      <c r="J34" s="5">
        <v>25.464</v>
      </c>
      <c r="K34" s="5">
        <v>25.46</v>
      </c>
      <c r="L34" s="5">
        <v>5.5</v>
      </c>
      <c r="M34" s="5">
        <v>5.5</v>
      </c>
      <c r="N34" t="s">
        <v>97</v>
      </c>
      <c r="O34" t="s">
        <v>52</v>
      </c>
      <c r="P34" s="2">
        <v>1.53</v>
      </c>
      <c r="Q34" s="2">
        <v>26.99</v>
      </c>
    </row>
    <row r="35" spans="1:17" x14ac:dyDescent="0.25">
      <c r="A35" t="s">
        <v>10</v>
      </c>
      <c r="B35" t="s">
        <v>11</v>
      </c>
      <c r="C35" t="s">
        <v>112</v>
      </c>
      <c r="D35" t="s">
        <v>113</v>
      </c>
      <c r="E35">
        <v>2</v>
      </c>
      <c r="F35">
        <v>48</v>
      </c>
      <c r="G35" s="5">
        <v>17.352</v>
      </c>
      <c r="H35" s="5">
        <v>0.885</v>
      </c>
      <c r="J35" s="5">
        <v>17.352</v>
      </c>
      <c r="K35" s="5">
        <v>34.7</v>
      </c>
      <c r="L35" s="5">
        <v>4.5</v>
      </c>
      <c r="M35" s="5">
        <v>9</v>
      </c>
      <c r="N35" t="s">
        <v>97</v>
      </c>
      <c r="O35" t="s">
        <v>52</v>
      </c>
      <c r="P35" s="2">
        <v>2.08</v>
      </c>
      <c r="Q35" s="2">
        <v>36.78</v>
      </c>
    </row>
    <row r="36" spans="1:17" x14ac:dyDescent="0.25">
      <c r="A36" t="s">
        <v>10</v>
      </c>
      <c r="B36" t="s">
        <v>11</v>
      </c>
      <c r="C36" t="s">
        <v>114</v>
      </c>
      <c r="D36" t="s">
        <v>115</v>
      </c>
      <c r="E36">
        <v>1</v>
      </c>
      <c r="F36">
        <v>24</v>
      </c>
      <c r="G36" s="5">
        <v>17.352</v>
      </c>
      <c r="H36" s="5">
        <v>0.868</v>
      </c>
      <c r="J36" s="5">
        <v>17.352</v>
      </c>
      <c r="K36" s="5">
        <v>17.35</v>
      </c>
      <c r="L36" s="5">
        <v>4.5</v>
      </c>
      <c r="M36" s="5">
        <v>4.5</v>
      </c>
      <c r="N36" t="s">
        <v>97</v>
      </c>
      <c r="O36" t="s">
        <v>52</v>
      </c>
      <c r="P36" s="2">
        <v>1.04</v>
      </c>
      <c r="Q36" s="2">
        <v>18.39</v>
      </c>
    </row>
    <row r="37" spans="1:17" x14ac:dyDescent="0.25">
      <c r="A37" t="s">
        <v>10</v>
      </c>
      <c r="B37" t="s">
        <v>11</v>
      </c>
      <c r="C37" t="s">
        <v>116</v>
      </c>
      <c r="D37" t="s">
        <v>117</v>
      </c>
      <c r="E37">
        <v>3</v>
      </c>
      <c r="F37">
        <v>72</v>
      </c>
      <c r="G37" s="5">
        <v>18.648</v>
      </c>
      <c r="H37" s="5">
        <v>0.135</v>
      </c>
      <c r="J37" s="5">
        <v>18.648</v>
      </c>
      <c r="K37" s="5">
        <v>55.94</v>
      </c>
      <c r="L37" s="5">
        <v>4.5</v>
      </c>
      <c r="M37" s="5">
        <v>13.5</v>
      </c>
      <c r="N37" t="s">
        <v>97</v>
      </c>
      <c r="O37" t="s">
        <v>52</v>
      </c>
      <c r="P37" s="2">
        <v>3.36</v>
      </c>
      <c r="Q37" s="2">
        <v>59.3</v>
      </c>
    </row>
    <row r="38" spans="1:17" x14ac:dyDescent="0.25">
      <c r="A38" t="s">
        <v>10</v>
      </c>
      <c r="B38" t="s">
        <v>11</v>
      </c>
      <c r="C38" t="s">
        <v>118</v>
      </c>
      <c r="D38" t="s">
        <v>119</v>
      </c>
      <c r="E38">
        <v>1</v>
      </c>
      <c r="F38">
        <v>24</v>
      </c>
      <c r="G38" s="5">
        <v>18.072</v>
      </c>
      <c r="H38" s="5">
        <v>0.708</v>
      </c>
      <c r="J38" s="5">
        <v>18.072</v>
      </c>
      <c r="K38" s="5">
        <v>18.07</v>
      </c>
      <c r="L38" s="5">
        <v>4.5</v>
      </c>
      <c r="M38" s="5">
        <v>4.5</v>
      </c>
      <c r="N38" t="s">
        <v>97</v>
      </c>
      <c r="O38" t="s">
        <v>52</v>
      </c>
      <c r="P38" s="2">
        <v>1.08</v>
      </c>
      <c r="Q38" s="2">
        <v>19.15</v>
      </c>
    </row>
    <row r="39" spans="1:17" x14ac:dyDescent="0.25">
      <c r="A39" t="s">
        <v>10</v>
      </c>
      <c r="B39" t="s">
        <v>11</v>
      </c>
      <c r="C39" t="s">
        <v>120</v>
      </c>
      <c r="D39" t="s">
        <v>121</v>
      </c>
      <c r="E39">
        <v>5</v>
      </c>
      <c r="F39">
        <v>120</v>
      </c>
      <c r="G39" s="5">
        <v>16.584</v>
      </c>
      <c r="H39" s="5">
        <v>0.638</v>
      </c>
      <c r="J39" s="5">
        <v>16.584</v>
      </c>
      <c r="K39" s="5">
        <v>82.92</v>
      </c>
      <c r="L39" s="5">
        <v>5</v>
      </c>
      <c r="M39" s="5">
        <v>25</v>
      </c>
      <c r="N39" t="s">
        <v>97</v>
      </c>
      <c r="O39" t="s">
        <v>52</v>
      </c>
      <c r="P39" s="2">
        <v>4.98</v>
      </c>
      <c r="Q39" s="2">
        <v>87.9</v>
      </c>
    </row>
    <row r="40" spans="1:17" x14ac:dyDescent="0.25">
      <c r="A40" t="s">
        <v>10</v>
      </c>
      <c r="B40" t="s">
        <v>11</v>
      </c>
      <c r="C40" t="s">
        <v>122</v>
      </c>
      <c r="D40" t="s">
        <v>123</v>
      </c>
      <c r="E40">
        <v>3</v>
      </c>
      <c r="F40">
        <v>72</v>
      </c>
      <c r="G40" s="5">
        <v>16.296</v>
      </c>
      <c r="H40" s="5">
        <v>0.638</v>
      </c>
      <c r="J40" s="5">
        <v>16.296</v>
      </c>
      <c r="K40" s="5">
        <v>48.89</v>
      </c>
      <c r="L40" s="5">
        <v>5</v>
      </c>
      <c r="M40" s="5">
        <v>15</v>
      </c>
      <c r="N40" t="s">
        <v>97</v>
      </c>
      <c r="O40" t="s">
        <v>52</v>
      </c>
      <c r="P40" s="2">
        <v>2.93</v>
      </c>
      <c r="Q40" s="2">
        <v>51.82</v>
      </c>
    </row>
    <row r="41" spans="1:17" x14ac:dyDescent="0.25">
      <c r="A41" t="s">
        <v>10</v>
      </c>
      <c r="B41" t="s">
        <v>11</v>
      </c>
      <c r="C41" t="s">
        <v>124</v>
      </c>
      <c r="D41" t="s">
        <v>125</v>
      </c>
      <c r="E41">
        <v>2</v>
      </c>
      <c r="F41">
        <v>48</v>
      </c>
      <c r="G41" s="5">
        <v>16.776</v>
      </c>
      <c r="H41" s="5">
        <v>0.708</v>
      </c>
      <c r="J41" s="5">
        <v>16.776</v>
      </c>
      <c r="K41" s="5">
        <v>33.55</v>
      </c>
      <c r="L41" s="5">
        <v>5</v>
      </c>
      <c r="M41" s="5">
        <v>10</v>
      </c>
      <c r="N41" t="s">
        <v>97</v>
      </c>
      <c r="O41" t="s">
        <v>52</v>
      </c>
      <c r="P41" s="2">
        <v>2.01</v>
      </c>
      <c r="Q41" s="2">
        <v>35.56</v>
      </c>
    </row>
    <row r="42" spans="1:17" x14ac:dyDescent="0.25">
      <c r="A42" t="s">
        <v>10</v>
      </c>
      <c r="B42" t="s">
        <v>11</v>
      </c>
      <c r="C42" t="s">
        <v>126</v>
      </c>
      <c r="D42" t="s">
        <v>127</v>
      </c>
      <c r="E42">
        <v>1</v>
      </c>
      <c r="F42">
        <v>24</v>
      </c>
      <c r="G42" s="5">
        <v>16.776</v>
      </c>
      <c r="H42" s="5">
        <v>0.708</v>
      </c>
      <c r="J42" s="5">
        <v>16.776</v>
      </c>
      <c r="K42" s="5">
        <v>16.78</v>
      </c>
      <c r="L42" s="5">
        <v>5</v>
      </c>
      <c r="M42" s="5">
        <v>5</v>
      </c>
      <c r="N42" t="s">
        <v>97</v>
      </c>
      <c r="O42" t="s">
        <v>52</v>
      </c>
      <c r="P42" s="2">
        <v>1.01</v>
      </c>
      <c r="Q42" s="2">
        <v>17.79</v>
      </c>
    </row>
    <row r="43" spans="1:17" x14ac:dyDescent="0.25">
      <c r="A43" t="s">
        <v>10</v>
      </c>
      <c r="B43" t="s">
        <v>11</v>
      </c>
      <c r="C43" t="s">
        <v>128</v>
      </c>
      <c r="D43" t="s">
        <v>129</v>
      </c>
      <c r="E43">
        <v>1</v>
      </c>
      <c r="F43">
        <v>1</v>
      </c>
      <c r="G43" s="5">
        <v>6.149</v>
      </c>
      <c r="H43" s="5">
        <v>0.234</v>
      </c>
      <c r="J43" s="5">
        <v>6.149</v>
      </c>
      <c r="K43" s="5">
        <v>6.15</v>
      </c>
      <c r="L43" s="5"/>
      <c r="M43" s="5"/>
      <c r="N43" t="s">
        <v>97</v>
      </c>
      <c r="O43" t="s">
        <v>52</v>
      </c>
      <c r="P43" s="2">
        <v>0.37</v>
      </c>
      <c r="Q43" s="2">
        <v>6.52</v>
      </c>
    </row>
    <row r="44" spans="1:17" x14ac:dyDescent="0.25">
      <c r="A44" t="s">
        <v>10</v>
      </c>
      <c r="B44" t="s">
        <v>11</v>
      </c>
      <c r="C44" t="s">
        <v>130</v>
      </c>
      <c r="D44" t="s">
        <v>131</v>
      </c>
      <c r="E44">
        <v>2</v>
      </c>
      <c r="F44">
        <v>4</v>
      </c>
      <c r="G44" s="5">
        <v>13.62</v>
      </c>
      <c r="H44" s="5"/>
      <c r="J44" s="5">
        <v>13.62</v>
      </c>
      <c r="K44" s="5">
        <v>27.24</v>
      </c>
      <c r="L44" s="5"/>
      <c r="M44" s="5"/>
      <c r="N44" t="s">
        <v>97</v>
      </c>
      <c r="O44" t="s">
        <v>52</v>
      </c>
      <c r="P44" s="2">
        <v>1.63</v>
      </c>
      <c r="Q44" s="2">
        <v>28.87</v>
      </c>
    </row>
    <row r="45" spans="1:17" x14ac:dyDescent="0.25">
      <c r="A45" t="s">
        <v>10</v>
      </c>
      <c r="B45" t="s">
        <v>11</v>
      </c>
      <c r="C45" t="s">
        <v>132</v>
      </c>
      <c r="D45" t="s">
        <v>133</v>
      </c>
      <c r="E45">
        <v>2</v>
      </c>
      <c r="F45">
        <v>4</v>
      </c>
      <c r="G45" s="5">
        <v>13.62</v>
      </c>
      <c r="H45" s="5"/>
      <c r="J45" s="5">
        <v>13.62</v>
      </c>
      <c r="K45" s="5">
        <v>27.24</v>
      </c>
      <c r="L45" s="5"/>
      <c r="M45" s="5"/>
      <c r="N45" t="s">
        <v>97</v>
      </c>
      <c r="O45" t="s">
        <v>52</v>
      </c>
      <c r="P45" s="2">
        <v>1.63</v>
      </c>
      <c r="Q45" s="2">
        <v>28.87</v>
      </c>
    </row>
    <row r="46" spans="1:17" x14ac:dyDescent="0.25">
      <c r="A46" t="s">
        <v>10</v>
      </c>
      <c r="B46" t="s">
        <v>11</v>
      </c>
      <c r="C46" t="s">
        <v>134</v>
      </c>
      <c r="D46" t="s">
        <v>135</v>
      </c>
      <c r="E46">
        <v>1</v>
      </c>
      <c r="F46">
        <v>2</v>
      </c>
      <c r="G46" s="5">
        <v>19.1</v>
      </c>
      <c r="H46" s="5"/>
      <c r="J46" s="5">
        <v>19.1</v>
      </c>
      <c r="K46" s="5">
        <v>19.1</v>
      </c>
      <c r="L46" s="5"/>
      <c r="M46" s="5"/>
      <c r="N46" t="s">
        <v>97</v>
      </c>
      <c r="O46" t="s">
        <v>52</v>
      </c>
      <c r="P46" s="2">
        <v>1.15</v>
      </c>
      <c r="Q46" s="2">
        <v>20.25</v>
      </c>
    </row>
    <row r="47" spans="1:17" x14ac:dyDescent="0.25">
      <c r="A47" t="s">
        <v>10</v>
      </c>
      <c r="B47" t="s">
        <v>11</v>
      </c>
      <c r="C47" t="s">
        <v>136</v>
      </c>
      <c r="D47" t="s">
        <v>137</v>
      </c>
      <c r="E47">
        <v>2</v>
      </c>
      <c r="F47">
        <v>4</v>
      </c>
      <c r="G47" s="5">
        <v>13.62</v>
      </c>
      <c r="H47" s="5"/>
      <c r="J47" s="5">
        <v>13.62</v>
      </c>
      <c r="K47" s="5">
        <v>27.24</v>
      </c>
      <c r="L47" s="5"/>
      <c r="M47" s="5"/>
      <c r="N47" t="s">
        <v>97</v>
      </c>
      <c r="O47" t="s">
        <v>52</v>
      </c>
      <c r="P47" s="2">
        <v>1.63</v>
      </c>
      <c r="Q47" s="2">
        <v>28.87</v>
      </c>
    </row>
    <row r="48" spans="1:17" x14ac:dyDescent="0.25">
      <c r="A48" t="s">
        <v>10</v>
      </c>
      <c r="B48" t="s">
        <v>11</v>
      </c>
      <c r="C48" t="s">
        <v>138</v>
      </c>
      <c r="D48" t="s">
        <v>139</v>
      </c>
      <c r="E48">
        <v>6</v>
      </c>
      <c r="F48">
        <v>6</v>
      </c>
      <c r="G48" s="5">
        <v>18.032</v>
      </c>
      <c r="H48" s="5">
        <v>3.306</v>
      </c>
      <c r="J48" s="5">
        <v>18.032</v>
      </c>
      <c r="K48" s="5">
        <v>108.19</v>
      </c>
      <c r="L48" s="5"/>
      <c r="M48" s="5"/>
      <c r="N48" t="s">
        <v>51</v>
      </c>
      <c r="O48" t="s">
        <v>52</v>
      </c>
      <c r="P48" s="2">
        <v>22.72</v>
      </c>
      <c r="Q48" s="2">
        <v>130.91</v>
      </c>
    </row>
    <row r="49" spans="1:17" x14ac:dyDescent="0.25">
      <c r="A49" t="s">
        <v>10</v>
      </c>
      <c r="B49" t="s">
        <v>11</v>
      </c>
      <c r="C49" t="s">
        <v>140</v>
      </c>
      <c r="D49" t="s">
        <v>141</v>
      </c>
      <c r="E49">
        <v>4</v>
      </c>
      <c r="F49">
        <v>4</v>
      </c>
      <c r="G49" s="5">
        <v>413.005</v>
      </c>
      <c r="H49" s="5">
        <v>0.014</v>
      </c>
      <c r="J49" s="5">
        <v>13.005</v>
      </c>
      <c r="K49" s="5">
        <v>52.02</v>
      </c>
      <c r="L49" s="5"/>
      <c r="M49" s="5"/>
      <c r="N49" t="s">
        <v>51</v>
      </c>
      <c r="O49" t="s">
        <v>52</v>
      </c>
      <c r="P49" s="2">
        <v>10.92</v>
      </c>
      <c r="Q49" s="2">
        <v>62.94</v>
      </c>
    </row>
    <row r="50" spans="1:17" x14ac:dyDescent="0.25">
      <c r="A50" t="s">
        <v>10</v>
      </c>
      <c r="B50" t="s">
        <v>11</v>
      </c>
      <c r="C50" t="s">
        <v>142</v>
      </c>
      <c r="D50" t="s">
        <v>143</v>
      </c>
      <c r="E50">
        <v>6</v>
      </c>
      <c r="F50">
        <v>6</v>
      </c>
      <c r="G50" s="5">
        <v>5.963</v>
      </c>
      <c r="H50" s="5">
        <v>0.646</v>
      </c>
      <c r="J50" s="5">
        <v>5.963</v>
      </c>
      <c r="K50" s="5">
        <v>35.78</v>
      </c>
      <c r="L50" s="5"/>
      <c r="M50" s="5"/>
      <c r="N50" t="s">
        <v>51</v>
      </c>
      <c r="O50" t="s">
        <v>52</v>
      </c>
      <c r="P50" s="2">
        <v>7.51</v>
      </c>
      <c r="Q50" s="2">
        <v>43.29</v>
      </c>
    </row>
    <row r="51" spans="1:17" x14ac:dyDescent="0.25">
      <c r="A51" t="s">
        <v>10</v>
      </c>
      <c r="B51" t="s">
        <v>11</v>
      </c>
      <c r="C51" t="s">
        <v>144</v>
      </c>
      <c r="D51" t="s">
        <v>145</v>
      </c>
      <c r="E51">
        <v>6</v>
      </c>
      <c r="F51">
        <v>6</v>
      </c>
      <c r="G51" s="5">
        <v>5.963</v>
      </c>
      <c r="H51" s="5">
        <v>0.646</v>
      </c>
      <c r="J51" s="5">
        <v>5.963</v>
      </c>
      <c r="K51" s="5">
        <v>35.78</v>
      </c>
      <c r="L51" s="5"/>
      <c r="M51" s="5"/>
      <c r="N51" t="s">
        <v>51</v>
      </c>
      <c r="O51" t="s">
        <v>52</v>
      </c>
      <c r="P51" s="2">
        <v>7.51</v>
      </c>
      <c r="Q51" s="2">
        <v>43.29</v>
      </c>
    </row>
    <row r="52" spans="1:17" x14ac:dyDescent="0.25">
      <c r="A52" t="s">
        <v>10</v>
      </c>
      <c r="B52" t="s">
        <v>11</v>
      </c>
      <c r="C52" t="s">
        <v>146</v>
      </c>
      <c r="D52" t="s">
        <v>147</v>
      </c>
      <c r="E52">
        <v>6</v>
      </c>
      <c r="F52">
        <v>6</v>
      </c>
      <c r="G52" s="5">
        <v>65.963</v>
      </c>
      <c r="H52" s="5">
        <v>0.646</v>
      </c>
      <c r="J52" s="5">
        <v>5.963</v>
      </c>
      <c r="K52" s="5">
        <v>35.78</v>
      </c>
      <c r="L52" s="5"/>
      <c r="M52" s="5"/>
      <c r="N52" t="s">
        <v>51</v>
      </c>
      <c r="O52" t="s">
        <v>52</v>
      </c>
      <c r="P52" s="2">
        <v>7.51</v>
      </c>
      <c r="Q52" s="2">
        <v>43.29</v>
      </c>
    </row>
    <row r="53" spans="1:17" x14ac:dyDescent="0.25">
      <c r="A53" t="s">
        <v>10</v>
      </c>
      <c r="B53" t="s">
        <v>11</v>
      </c>
      <c r="C53" t="s">
        <v>148</v>
      </c>
      <c r="D53" t="s">
        <v>149</v>
      </c>
      <c r="E53">
        <v>3</v>
      </c>
      <c r="F53">
        <v>72</v>
      </c>
      <c r="G53" s="5">
        <v>23.184</v>
      </c>
      <c r="H53" s="5">
        <v>0.469</v>
      </c>
      <c r="J53" s="5">
        <v>23.184</v>
      </c>
      <c r="K53" s="5">
        <v>69.55</v>
      </c>
      <c r="L53" s="5"/>
      <c r="M53" s="5"/>
      <c r="N53" t="s">
        <v>97</v>
      </c>
      <c r="O53" t="s">
        <v>52</v>
      </c>
      <c r="P53" s="2">
        <v>4.17</v>
      </c>
      <c r="Q53" s="2">
        <v>73.72</v>
      </c>
    </row>
    <row r="54" spans="1:17" x14ac:dyDescent="0.25">
      <c r="A54" t="s">
        <v>10</v>
      </c>
      <c r="B54" t="s">
        <v>11</v>
      </c>
      <c r="C54" t="s">
        <v>150</v>
      </c>
      <c r="D54" t="s">
        <v>151</v>
      </c>
      <c r="E54">
        <v>1</v>
      </c>
      <c r="F54">
        <v>1</v>
      </c>
      <c r="G54" s="5">
        <v>11.133</v>
      </c>
      <c r="H54" s="5">
        <v>0.014</v>
      </c>
      <c r="J54" s="5">
        <v>11.133</v>
      </c>
      <c r="K54" s="5">
        <v>11.13</v>
      </c>
      <c r="L54" s="5"/>
      <c r="M54" s="5"/>
      <c r="N54" t="s">
        <v>51</v>
      </c>
      <c r="O54" t="s">
        <v>52</v>
      </c>
      <c r="P54" s="2">
        <v>2.34</v>
      </c>
      <c r="Q54" s="2">
        <v>13.47</v>
      </c>
    </row>
    <row r="55" spans="1:17" x14ac:dyDescent="0.25">
      <c r="A55" t="s">
        <v>10</v>
      </c>
      <c r="B55" t="s">
        <v>11</v>
      </c>
      <c r="C55" t="s">
        <v>152</v>
      </c>
      <c r="D55" t="s">
        <v>153</v>
      </c>
      <c r="G55" s="5">
        <v>1.26</v>
      </c>
      <c r="H55" s="5"/>
      <c r="J55" s="5">
        <v>1.26</v>
      </c>
      <c r="K55" s="5"/>
      <c r="L55" s="5"/>
      <c r="M55" s="5"/>
      <c r="N55" t="s">
        <v>33</v>
      </c>
      <c r="O55" t="s">
        <v>52</v>
      </c>
      <c r="P55" s="2"/>
      <c r="Q55" s="2"/>
    </row>
    <row r="56" spans="1:17" x14ac:dyDescent="0.25">
      <c r="A56" t="s">
        <v>10</v>
      </c>
      <c r="B56" t="s">
        <v>11</v>
      </c>
      <c r="C56" t="s">
        <v>152</v>
      </c>
      <c r="D56" t="s">
        <v>87</v>
      </c>
      <c r="E56">
        <v>36</v>
      </c>
      <c r="F56">
        <v>36</v>
      </c>
      <c r="G56" s="5"/>
      <c r="H56" s="5"/>
      <c r="J56" s="5"/>
      <c r="K56" s="5"/>
      <c r="L56" s="5"/>
      <c r="M56" s="5"/>
      <c r="N56" t="s">
        <v>51</v>
      </c>
      <c r="O56" t="s">
        <v>88</v>
      </c>
      <c r="P56" s="2"/>
      <c r="Q56" s="2"/>
    </row>
    <row r="57" spans="1:17" x14ac:dyDescent="0.25">
      <c r="A57" t="s">
        <v>10</v>
      </c>
      <c r="B57" t="s">
        <v>11</v>
      </c>
      <c r="C57" t="s">
        <v>154</v>
      </c>
      <c r="D57" t="s">
        <v>155</v>
      </c>
      <c r="G57" s="5">
        <v>2.893</v>
      </c>
      <c r="H57" s="5"/>
      <c r="J57" s="5">
        <v>2.893</v>
      </c>
      <c r="K57" s="5"/>
      <c r="L57" s="5"/>
      <c r="M57" s="5"/>
      <c r="N57" t="s">
        <v>33</v>
      </c>
      <c r="O57" t="s">
        <v>52</v>
      </c>
      <c r="P57" s="2"/>
      <c r="Q57" s="2"/>
    </row>
    <row r="58" spans="1:17" x14ac:dyDescent="0.25">
      <c r="A58" t="s">
        <v>10</v>
      </c>
      <c r="B58" t="s">
        <v>11</v>
      </c>
      <c r="C58" t="s">
        <v>154</v>
      </c>
      <c r="D58" t="s">
        <v>87</v>
      </c>
      <c r="E58">
        <v>6</v>
      </c>
      <c r="F58">
        <v>6</v>
      </c>
      <c r="G58" s="5"/>
      <c r="H58" s="5"/>
      <c r="J58" s="5"/>
      <c r="K58" s="5"/>
      <c r="L58" s="5"/>
      <c r="M58" s="5"/>
      <c r="N58" t="s">
        <v>51</v>
      </c>
      <c r="O58" t="s">
        <v>88</v>
      </c>
      <c r="P58" s="2"/>
      <c r="Q58" s="2"/>
    </row>
    <row r="59" spans="1:17" x14ac:dyDescent="0.25">
      <c r="A59" t="s">
        <v>10</v>
      </c>
      <c r="B59" t="s">
        <v>11</v>
      </c>
      <c r="C59" t="s">
        <v>156</v>
      </c>
      <c r="D59" t="s">
        <v>157</v>
      </c>
      <c r="G59" s="5">
        <v>4.545</v>
      </c>
      <c r="H59" s="5"/>
      <c r="J59" s="5">
        <v>4.545</v>
      </c>
      <c r="K59" s="5"/>
      <c r="L59" s="5"/>
      <c r="M59" s="5"/>
      <c r="N59" t="s">
        <v>33</v>
      </c>
      <c r="O59" t="s">
        <v>52</v>
      </c>
      <c r="P59" s="2"/>
      <c r="Q59" s="2"/>
    </row>
    <row r="60" spans="1:17" x14ac:dyDescent="0.25">
      <c r="A60" t="s">
        <v>10</v>
      </c>
      <c r="B60" t="s">
        <v>11</v>
      </c>
      <c r="C60" t="s">
        <v>156</v>
      </c>
      <c r="D60" t="s">
        <v>87</v>
      </c>
      <c r="E60">
        <v>18</v>
      </c>
      <c r="F60">
        <v>18</v>
      </c>
      <c r="G60" s="5"/>
      <c r="H60" s="5"/>
      <c r="J60" s="5"/>
      <c r="K60" s="5"/>
      <c r="L60" s="5"/>
      <c r="M60" s="5"/>
      <c r="N60" t="s">
        <v>51</v>
      </c>
      <c r="O60" t="s">
        <v>88</v>
      </c>
      <c r="P60" s="2"/>
      <c r="Q60" s="2"/>
    </row>
    <row r="61" spans="1:17" x14ac:dyDescent="0.25">
      <c r="A61" t="s">
        <v>10</v>
      </c>
      <c r="B61" t="s">
        <v>11</v>
      </c>
      <c r="C61" t="s">
        <v>158</v>
      </c>
      <c r="D61" t="s">
        <v>159</v>
      </c>
      <c r="G61" s="5">
        <v>4.545</v>
      </c>
      <c r="H61" s="5"/>
      <c r="J61" s="5">
        <v>4.545</v>
      </c>
      <c r="K61" s="5"/>
      <c r="L61" s="5"/>
      <c r="M61" s="5"/>
      <c r="N61" t="s">
        <v>33</v>
      </c>
      <c r="O61" t="s">
        <v>52</v>
      </c>
      <c r="P61" s="2"/>
      <c r="Q61" s="2"/>
    </row>
    <row r="62" spans="1:17" x14ac:dyDescent="0.25">
      <c r="A62" t="s">
        <v>10</v>
      </c>
      <c r="B62" t="s">
        <v>11</v>
      </c>
      <c r="C62" t="s">
        <v>158</v>
      </c>
      <c r="D62" t="s">
        <v>87</v>
      </c>
      <c r="E62">
        <v>12</v>
      </c>
      <c r="F62">
        <v>12</v>
      </c>
      <c r="G62" s="5"/>
      <c r="H62" s="5"/>
      <c r="J62" s="5"/>
      <c r="K62" s="5"/>
      <c r="L62" s="5"/>
      <c r="M62" s="5"/>
      <c r="N62" t="s">
        <v>51</v>
      </c>
      <c r="O62" t="s">
        <v>88</v>
      </c>
      <c r="P62" s="2"/>
      <c r="Q62" s="2"/>
    </row>
    <row r="63" spans="1:17" x14ac:dyDescent="0.25">
      <c r="A63" t="s">
        <v>10</v>
      </c>
      <c r="B63" t="s">
        <v>11</v>
      </c>
      <c r="C63" t="s">
        <v>160</v>
      </c>
      <c r="D63" t="s">
        <v>161</v>
      </c>
      <c r="G63" s="5">
        <v>2.479</v>
      </c>
      <c r="H63" s="5"/>
      <c r="J63" s="5">
        <v>2.479</v>
      </c>
      <c r="K63" s="5"/>
      <c r="L63" s="5"/>
      <c r="M63" s="5"/>
      <c r="N63" t="s">
        <v>33</v>
      </c>
      <c r="O63" t="s">
        <v>52</v>
      </c>
      <c r="P63" s="2"/>
      <c r="Q63" s="2"/>
    </row>
    <row r="64" spans="1:17" x14ac:dyDescent="0.25">
      <c r="A64" t="s">
        <v>10</v>
      </c>
      <c r="B64" t="s">
        <v>11</v>
      </c>
      <c r="C64" t="s">
        <v>160</v>
      </c>
      <c r="D64" t="s">
        <v>87</v>
      </c>
      <c r="E64">
        <v>6</v>
      </c>
      <c r="F64">
        <v>6</v>
      </c>
      <c r="G64" s="5"/>
      <c r="H64" s="5"/>
      <c r="J64" s="5"/>
      <c r="K64" s="5"/>
      <c r="L64" s="5"/>
      <c r="M64" s="5"/>
      <c r="N64" t="s">
        <v>51</v>
      </c>
      <c r="O64" t="s">
        <v>88</v>
      </c>
      <c r="P64" s="2"/>
      <c r="Q64" s="2"/>
    </row>
    <row r="65" spans="1:17" x14ac:dyDescent="0.25">
      <c r="A65" t="s">
        <v>10</v>
      </c>
      <c r="B65" t="s">
        <v>11</v>
      </c>
      <c r="C65" t="s">
        <v>162</v>
      </c>
      <c r="D65" t="s">
        <v>163</v>
      </c>
      <c r="G65" s="5">
        <v>3.306</v>
      </c>
      <c r="H65" s="5"/>
      <c r="J65" s="5">
        <v>3.306</v>
      </c>
      <c r="K65" s="5"/>
      <c r="L65" s="5"/>
      <c r="M65" s="5"/>
      <c r="N65" t="s">
        <v>33</v>
      </c>
      <c r="O65" t="s">
        <v>52</v>
      </c>
      <c r="P65" s="2"/>
      <c r="Q65" s="2"/>
    </row>
    <row r="66" spans="1:17" x14ac:dyDescent="0.25">
      <c r="A66" t="s">
        <v>10</v>
      </c>
      <c r="B66" t="s">
        <v>11</v>
      </c>
      <c r="C66" t="s">
        <v>162</v>
      </c>
      <c r="D66" t="s">
        <v>87</v>
      </c>
      <c r="E66">
        <v>6</v>
      </c>
      <c r="F66">
        <v>6</v>
      </c>
      <c r="G66" s="5"/>
      <c r="H66" s="5"/>
      <c r="J66" s="5"/>
      <c r="K66" s="5"/>
      <c r="L66" s="5"/>
      <c r="M66" s="5"/>
      <c r="N66" t="s">
        <v>51</v>
      </c>
      <c r="O66" t="s">
        <v>88</v>
      </c>
      <c r="P66" s="2"/>
      <c r="Q66" s="2"/>
    </row>
    <row r="67" spans="1:17" x14ac:dyDescent="0.25">
      <c r="A67" t="s">
        <v>10</v>
      </c>
      <c r="B67" t="s">
        <v>11</v>
      </c>
      <c r="C67" t="s">
        <v>164</v>
      </c>
      <c r="D67" t="s">
        <v>165</v>
      </c>
      <c r="G67" s="5">
        <v>3.017</v>
      </c>
      <c r="H67" s="5"/>
      <c r="J67" s="5">
        <v>3.017</v>
      </c>
      <c r="K67" s="5"/>
      <c r="L67" s="5"/>
      <c r="M67" s="5"/>
      <c r="N67" t="s">
        <v>33</v>
      </c>
      <c r="O67" t="s">
        <v>52</v>
      </c>
      <c r="P67" s="2"/>
      <c r="Q67" s="2"/>
    </row>
    <row r="68" spans="1:17" x14ac:dyDescent="0.25">
      <c r="A68" t="s">
        <v>10</v>
      </c>
      <c r="B68" t="s">
        <v>11</v>
      </c>
      <c r="C68" t="s">
        <v>164</v>
      </c>
      <c r="D68" t="s">
        <v>87</v>
      </c>
      <c r="E68">
        <v>6</v>
      </c>
      <c r="F68">
        <v>6</v>
      </c>
      <c r="G68" s="5"/>
      <c r="H68" s="5"/>
      <c r="J68" s="5"/>
      <c r="K68" s="5"/>
      <c r="L68" s="5"/>
      <c r="M68" s="5"/>
      <c r="N68" t="s">
        <v>51</v>
      </c>
      <c r="O68" t="s">
        <v>88</v>
      </c>
      <c r="P68" s="2"/>
      <c r="Q68" s="2"/>
    </row>
    <row r="69" spans="1:17" x14ac:dyDescent="0.25">
      <c r="A69" t="s">
        <v>10</v>
      </c>
      <c r="B69" t="s">
        <v>11</v>
      </c>
      <c r="C69" t="s">
        <v>166</v>
      </c>
      <c r="D69" t="s">
        <v>167</v>
      </c>
      <c r="G69" s="5">
        <v>4.746</v>
      </c>
      <c r="H69" s="5"/>
      <c r="J69" s="5">
        <v>4.746</v>
      </c>
      <c r="K69" s="5"/>
      <c r="L69" s="5"/>
      <c r="M69" s="5"/>
      <c r="N69" t="s">
        <v>33</v>
      </c>
      <c r="O69" t="s">
        <v>52</v>
      </c>
      <c r="P69" s="2"/>
      <c r="Q69" s="2"/>
    </row>
    <row r="70" spans="1:17" x14ac:dyDescent="0.25">
      <c r="A70" t="s">
        <v>10</v>
      </c>
      <c r="B70" t="s">
        <v>11</v>
      </c>
      <c r="C70" t="s">
        <v>166</v>
      </c>
      <c r="D70" t="s">
        <v>87</v>
      </c>
      <c r="E70">
        <v>6</v>
      </c>
      <c r="F70">
        <v>6</v>
      </c>
      <c r="G70" s="5"/>
      <c r="H70" s="5"/>
      <c r="J70" s="5"/>
      <c r="K70" s="5"/>
      <c r="L70" s="5"/>
      <c r="M70" s="5"/>
      <c r="N70" t="s">
        <v>51</v>
      </c>
      <c r="O70" t="s">
        <v>88</v>
      </c>
      <c r="P70" s="2"/>
      <c r="Q70" s="2"/>
    </row>
    <row r="71" spans="1:17" x14ac:dyDescent="0.25">
      <c r="A71" t="s">
        <v>10</v>
      </c>
      <c r="B71" t="s">
        <v>11</v>
      </c>
      <c r="C71" t="s">
        <v>168</v>
      </c>
      <c r="D71" t="s">
        <v>169</v>
      </c>
      <c r="G71" s="5">
        <v>3</v>
      </c>
      <c r="H71" s="5"/>
      <c r="J71" s="5">
        <v>3</v>
      </c>
      <c r="K71" s="5"/>
      <c r="L71" s="5"/>
      <c r="M71" s="5"/>
      <c r="N71" t="s">
        <v>33</v>
      </c>
      <c r="O71" t="s">
        <v>52</v>
      </c>
      <c r="P71" s="2"/>
      <c r="Q71" s="2"/>
    </row>
    <row r="72" spans="1:17" x14ac:dyDescent="0.25">
      <c r="A72" t="s">
        <v>10</v>
      </c>
      <c r="B72" t="s">
        <v>11</v>
      </c>
      <c r="C72" t="s">
        <v>168</v>
      </c>
      <c r="D72" t="s">
        <v>87</v>
      </c>
      <c r="E72">
        <v>6</v>
      </c>
      <c r="F72">
        <v>6</v>
      </c>
      <c r="G72" s="5"/>
      <c r="H72" s="5"/>
      <c r="J72" s="5"/>
      <c r="K72" s="5"/>
      <c r="L72" s="5"/>
      <c r="M72" s="5"/>
      <c r="N72" t="s">
        <v>51</v>
      </c>
      <c r="O72" t="s">
        <v>88</v>
      </c>
      <c r="P72" s="2"/>
      <c r="Q72" s="2"/>
    </row>
    <row r="73" spans="1:17" x14ac:dyDescent="0.25">
      <c r="A73" t="s">
        <v>10</v>
      </c>
      <c r="B73" t="s">
        <v>11</v>
      </c>
      <c r="C73" t="s">
        <v>170</v>
      </c>
      <c r="D73" t="s">
        <v>171</v>
      </c>
      <c r="G73" s="5">
        <v>1.24</v>
      </c>
      <c r="H73" s="5"/>
      <c r="J73" s="5">
        <v>1.24</v>
      </c>
      <c r="K73" s="5"/>
      <c r="L73" s="5"/>
      <c r="M73" s="5"/>
      <c r="N73" t="s">
        <v>33</v>
      </c>
      <c r="O73" t="s">
        <v>52</v>
      </c>
      <c r="P73" s="2"/>
      <c r="Q73" s="2"/>
    </row>
    <row r="74" spans="1:17" x14ac:dyDescent="0.25">
      <c r="A74" t="s">
        <v>10</v>
      </c>
      <c r="B74" t="s">
        <v>11</v>
      </c>
      <c r="C74" t="s">
        <v>170</v>
      </c>
      <c r="D74" t="s">
        <v>87</v>
      </c>
      <c r="E74">
        <v>6</v>
      </c>
      <c r="F74">
        <v>6</v>
      </c>
      <c r="G74" s="5"/>
      <c r="H74" s="5"/>
      <c r="J74" s="5"/>
      <c r="K74" s="5"/>
      <c r="L74" s="5"/>
      <c r="M74" s="5"/>
      <c r="N74" t="s">
        <v>51</v>
      </c>
      <c r="O74" t="s">
        <v>88</v>
      </c>
      <c r="P74" s="2"/>
      <c r="Q74" s="2"/>
    </row>
    <row r="75" spans="1:17" x14ac:dyDescent="0.25">
      <c r="A75" t="s">
        <v>10</v>
      </c>
      <c r="B75" t="s">
        <v>11</v>
      </c>
      <c r="C75" t="s">
        <v>172</v>
      </c>
      <c r="D75" t="s">
        <v>173</v>
      </c>
      <c r="G75" s="5">
        <v>0.826</v>
      </c>
      <c r="H75" s="5"/>
      <c r="J75" s="5">
        <v>0.826</v>
      </c>
      <c r="K75" s="5"/>
      <c r="L75" s="5"/>
      <c r="M75" s="5"/>
      <c r="N75" t="s">
        <v>33</v>
      </c>
      <c r="O75" t="s">
        <v>52</v>
      </c>
      <c r="P75" s="2"/>
      <c r="Q75" s="2"/>
    </row>
    <row r="76" spans="1:17" x14ac:dyDescent="0.25">
      <c r="A76" t="s">
        <v>10</v>
      </c>
      <c r="B76" t="s">
        <v>11</v>
      </c>
      <c r="C76" t="s">
        <v>172</v>
      </c>
      <c r="D76" t="s">
        <v>87</v>
      </c>
      <c r="E76">
        <v>12</v>
      </c>
      <c r="F76">
        <v>12</v>
      </c>
      <c r="G76" s="5"/>
      <c r="H76" s="5"/>
      <c r="J76" s="5"/>
      <c r="K76" s="5"/>
      <c r="L76" s="5"/>
      <c r="M76" s="5"/>
      <c r="N76" t="s">
        <v>51</v>
      </c>
      <c r="O76" t="s">
        <v>88</v>
      </c>
      <c r="P76" s="2"/>
      <c r="Q76" s="2"/>
    </row>
    <row r="77" spans="1:17" x14ac:dyDescent="0.25">
      <c r="A77" t="s">
        <v>10</v>
      </c>
      <c r="B77" t="s">
        <v>11</v>
      </c>
      <c r="C77" t="s">
        <v>174</v>
      </c>
      <c r="D77" t="s">
        <v>175</v>
      </c>
      <c r="G77" s="5">
        <v>0.826</v>
      </c>
      <c r="H77" s="5"/>
      <c r="J77" s="5">
        <v>0.826</v>
      </c>
      <c r="K77" s="5"/>
      <c r="L77" s="5"/>
      <c r="M77" s="5"/>
      <c r="N77" t="s">
        <v>33</v>
      </c>
      <c r="O77" t="s">
        <v>52</v>
      </c>
      <c r="P77" s="2"/>
      <c r="Q77" s="2"/>
    </row>
    <row r="78" spans="1:17" x14ac:dyDescent="0.25">
      <c r="A78" t="s">
        <v>10</v>
      </c>
      <c r="B78" t="s">
        <v>11</v>
      </c>
      <c r="C78" t="s">
        <v>174</v>
      </c>
      <c r="D78" t="s">
        <v>87</v>
      </c>
      <c r="E78">
        <v>18</v>
      </c>
      <c r="F78">
        <v>18</v>
      </c>
      <c r="G78" s="5"/>
      <c r="H78" s="5"/>
      <c r="J78" s="5"/>
      <c r="K78" s="5"/>
      <c r="L78" s="5"/>
      <c r="M78" s="5"/>
      <c r="N78" t="s">
        <v>51</v>
      </c>
      <c r="O78" t="s">
        <v>88</v>
      </c>
      <c r="P78" s="2"/>
      <c r="Q78" s="2"/>
    </row>
    <row r="79" spans="1:17" x14ac:dyDescent="0.25">
      <c r="A79" t="s">
        <v>10</v>
      </c>
      <c r="B79" t="s">
        <v>11</v>
      </c>
      <c r="C79" t="s">
        <v>176</v>
      </c>
      <c r="D79" t="s">
        <v>177</v>
      </c>
      <c r="G79" s="5">
        <v>0.677</v>
      </c>
      <c r="H79" s="5"/>
      <c r="J79" s="5">
        <v>0.677</v>
      </c>
      <c r="K79" s="5"/>
      <c r="L79" s="5"/>
      <c r="M79" s="5"/>
      <c r="N79" t="s">
        <v>33</v>
      </c>
      <c r="O79" t="s">
        <v>52</v>
      </c>
      <c r="P79" s="2"/>
      <c r="Q79" s="2"/>
    </row>
    <row r="80" spans="1:17" x14ac:dyDescent="0.25">
      <c r="A80" t="s">
        <v>10</v>
      </c>
      <c r="B80" t="s">
        <v>11</v>
      </c>
      <c r="C80" t="s">
        <v>176</v>
      </c>
      <c r="D80" t="s">
        <v>87</v>
      </c>
      <c r="E80">
        <v>12</v>
      </c>
      <c r="F80">
        <v>12</v>
      </c>
      <c r="G80" s="5"/>
      <c r="H80" s="5"/>
      <c r="J80" s="5"/>
      <c r="K80" s="5"/>
      <c r="L80" s="5"/>
      <c r="M80" s="5"/>
      <c r="N80" t="s">
        <v>51</v>
      </c>
      <c r="O80" t="s">
        <v>88</v>
      </c>
      <c r="P80" s="2"/>
      <c r="Q80" s="2"/>
    </row>
    <row r="81" spans="1:17" x14ac:dyDescent="0.25">
      <c r="A81" t="s">
        <v>10</v>
      </c>
      <c r="B81" t="s">
        <v>11</v>
      </c>
      <c r="C81" t="s">
        <v>178</v>
      </c>
      <c r="D81" t="s">
        <v>179</v>
      </c>
      <c r="G81" s="5">
        <v>1.56</v>
      </c>
      <c r="H81" s="5"/>
      <c r="J81" s="5">
        <v>1.56</v>
      </c>
      <c r="K81" s="5"/>
      <c r="L81" s="5"/>
      <c r="M81" s="5"/>
      <c r="N81" t="s">
        <v>33</v>
      </c>
      <c r="O81" t="s">
        <v>52</v>
      </c>
      <c r="P81" s="2"/>
      <c r="Q81" s="2"/>
    </row>
    <row r="82" spans="1:17" x14ac:dyDescent="0.25">
      <c r="A82" t="s">
        <v>10</v>
      </c>
      <c r="B82" t="s">
        <v>11</v>
      </c>
      <c r="C82" t="s">
        <v>178</v>
      </c>
      <c r="D82" t="s">
        <v>87</v>
      </c>
      <c r="E82">
        <v>18</v>
      </c>
      <c r="F82">
        <v>18</v>
      </c>
      <c r="G82" s="5"/>
      <c r="H82" s="5"/>
      <c r="J82" s="5"/>
      <c r="K82" s="5"/>
      <c r="L82" s="5"/>
      <c r="M82" s="5"/>
      <c r="N82" t="s">
        <v>51</v>
      </c>
      <c r="O82" t="s">
        <v>88</v>
      </c>
      <c r="P82" s="2"/>
      <c r="Q82" s="2"/>
    </row>
    <row r="83" spans="1:17" x14ac:dyDescent="0.25">
      <c r="A83" t="s">
        <v>10</v>
      </c>
      <c r="B83" t="s">
        <v>11</v>
      </c>
      <c r="C83" t="s">
        <v>176</v>
      </c>
      <c r="D83" t="s">
        <v>180</v>
      </c>
      <c r="G83" s="5">
        <v>0.677</v>
      </c>
      <c r="H83" s="5"/>
      <c r="J83" s="5">
        <v>0.677</v>
      </c>
      <c r="K83" s="5"/>
      <c r="L83" s="5"/>
      <c r="M83" s="5"/>
      <c r="N83" t="s">
        <v>33</v>
      </c>
      <c r="O83" t="s">
        <v>52</v>
      </c>
      <c r="P83" s="2"/>
      <c r="Q83" s="2"/>
    </row>
    <row r="84" spans="1:17" x14ac:dyDescent="0.25">
      <c r="A84" t="s">
        <v>10</v>
      </c>
      <c r="B84" t="s">
        <v>11</v>
      </c>
      <c r="C84" t="s">
        <v>176</v>
      </c>
      <c r="D84" t="s">
        <v>87</v>
      </c>
      <c r="E84">
        <v>24</v>
      </c>
      <c r="F84">
        <v>24</v>
      </c>
      <c r="G84" s="5"/>
      <c r="H84" s="5"/>
      <c r="J84" s="5"/>
      <c r="K84" s="5"/>
      <c r="L84" s="5"/>
      <c r="M84" s="5"/>
      <c r="N84" t="s">
        <v>51</v>
      </c>
      <c r="O84" t="s">
        <v>88</v>
      </c>
      <c r="P84" s="2"/>
      <c r="Q84" s="2"/>
    </row>
    <row r="85" spans="1:17" x14ac:dyDescent="0.25">
      <c r="A85" t="s">
        <v>10</v>
      </c>
      <c r="B85" t="s">
        <v>11</v>
      </c>
      <c r="C85" t="s">
        <v>181</v>
      </c>
      <c r="D85" t="s">
        <v>182</v>
      </c>
      <c r="G85" s="5">
        <v>3.397</v>
      </c>
      <c r="H85" s="5"/>
      <c r="J85" s="5">
        <v>3.397</v>
      </c>
      <c r="K85" s="5"/>
      <c r="L85" s="5"/>
      <c r="M85" s="5"/>
      <c r="N85" t="s">
        <v>33</v>
      </c>
      <c r="O85" t="s">
        <v>52</v>
      </c>
      <c r="P85" s="2"/>
      <c r="Q85" s="2"/>
    </row>
    <row r="86" spans="1:17" x14ac:dyDescent="0.25">
      <c r="A86" t="s">
        <v>10</v>
      </c>
      <c r="B86" t="s">
        <v>11</v>
      </c>
      <c r="C86" t="s">
        <v>181</v>
      </c>
      <c r="D86" t="s">
        <v>87</v>
      </c>
      <c r="E86">
        <v>12</v>
      </c>
      <c r="F86">
        <v>12</v>
      </c>
      <c r="G86" s="5"/>
      <c r="H86" s="5"/>
      <c r="J86" s="5"/>
      <c r="K86" s="5"/>
      <c r="L86" s="5"/>
      <c r="M86" s="5"/>
      <c r="N86" t="s">
        <v>51</v>
      </c>
      <c r="O86" t="s">
        <v>88</v>
      </c>
      <c r="P86" s="2"/>
      <c r="Q86" s="2"/>
    </row>
    <row r="87" spans="1:17" x14ac:dyDescent="0.25">
      <c r="A87" t="s">
        <v>12</v>
      </c>
      <c r="B87" t="s">
        <v>13</v>
      </c>
      <c r="C87" t="s">
        <v>49</v>
      </c>
      <c r="D87" t="s">
        <v>50</v>
      </c>
      <c r="E87">
        <v>1</v>
      </c>
      <c r="F87">
        <v>1</v>
      </c>
      <c r="G87" s="5">
        <v>49.672</v>
      </c>
      <c r="H87" s="5"/>
      <c r="J87" s="5">
        <v>49.672</v>
      </c>
      <c r="K87" s="5">
        <v>49.67</v>
      </c>
      <c r="L87" s="5">
        <v>120</v>
      </c>
      <c r="M87" s="5">
        <v>120</v>
      </c>
      <c r="N87" t="s">
        <v>51</v>
      </c>
      <c r="O87" t="s">
        <v>52</v>
      </c>
      <c r="P87" s="2">
        <v>10.43</v>
      </c>
      <c r="Q87" s="2">
        <v>60.1</v>
      </c>
    </row>
    <row r="88" spans="1:17" x14ac:dyDescent="0.25">
      <c r="A88" t="s">
        <v>12</v>
      </c>
      <c r="B88" t="s">
        <v>13</v>
      </c>
      <c r="C88" t="s">
        <v>71</v>
      </c>
      <c r="D88" t="s">
        <v>72</v>
      </c>
      <c r="E88">
        <v>3</v>
      </c>
      <c r="F88">
        <v>72</v>
      </c>
      <c r="G88" s="5">
        <v>35.472</v>
      </c>
      <c r="H88" s="5">
        <v>2.764</v>
      </c>
      <c r="J88" s="5">
        <v>35.472</v>
      </c>
      <c r="K88" s="5">
        <v>106.42</v>
      </c>
      <c r="L88" s="5">
        <v>4.5</v>
      </c>
      <c r="M88" s="5">
        <v>13.5</v>
      </c>
      <c r="N88" t="s">
        <v>51</v>
      </c>
      <c r="O88" t="s">
        <v>52</v>
      </c>
      <c r="P88" s="2">
        <v>22.35</v>
      </c>
      <c r="Q88" s="2">
        <v>128.77</v>
      </c>
    </row>
    <row r="89" spans="1:17" x14ac:dyDescent="0.25">
      <c r="A89" t="s">
        <v>12</v>
      </c>
      <c r="B89" t="s">
        <v>13</v>
      </c>
      <c r="C89" t="s">
        <v>55</v>
      </c>
      <c r="D89" t="s">
        <v>56</v>
      </c>
      <c r="E89">
        <v>1</v>
      </c>
      <c r="F89">
        <v>1</v>
      </c>
      <c r="G89" s="5">
        <v>88.766</v>
      </c>
      <c r="H89" s="5">
        <v>6.69</v>
      </c>
      <c r="I89" s="6">
        <v>5</v>
      </c>
      <c r="J89" s="5">
        <v>84.662</v>
      </c>
      <c r="K89" s="5">
        <v>84.66</v>
      </c>
      <c r="L89" s="5">
        <v>60</v>
      </c>
      <c r="M89" s="5">
        <v>60</v>
      </c>
      <c r="N89" t="s">
        <v>51</v>
      </c>
      <c r="O89" t="s">
        <v>52</v>
      </c>
      <c r="P89" s="2">
        <v>17.78</v>
      </c>
      <c r="Q89" s="2">
        <v>102.44</v>
      </c>
    </row>
    <row r="90" spans="1:17" x14ac:dyDescent="0.25">
      <c r="A90" t="s">
        <v>12</v>
      </c>
      <c r="B90" t="s">
        <v>13</v>
      </c>
      <c r="C90" t="s">
        <v>183</v>
      </c>
      <c r="D90" t="s">
        <v>184</v>
      </c>
      <c r="G90" s="5"/>
      <c r="H90" s="5"/>
      <c r="J90" s="5"/>
      <c r="K90" s="5"/>
      <c r="L90" s="5">
        <v>60</v>
      </c>
      <c r="M90" s="5">
        <v>-60</v>
      </c>
      <c r="N90" t="s">
        <v>33</v>
      </c>
      <c r="O90" t="s">
        <v>185</v>
      </c>
      <c r="P90" s="2"/>
      <c r="Q90" s="2"/>
    </row>
    <row r="91" spans="1:17" x14ac:dyDescent="0.25">
      <c r="A91" t="s">
        <v>14</v>
      </c>
      <c r="B91" t="s">
        <v>15</v>
      </c>
      <c r="C91" t="s">
        <v>55</v>
      </c>
      <c r="D91" t="s">
        <v>56</v>
      </c>
      <c r="E91">
        <v>3</v>
      </c>
      <c r="F91">
        <v>3</v>
      </c>
      <c r="G91" s="5">
        <v>88.766</v>
      </c>
      <c r="H91" s="5">
        <v>6.69</v>
      </c>
      <c r="I91" s="6">
        <v>5</v>
      </c>
      <c r="J91" s="5">
        <v>84.662</v>
      </c>
      <c r="K91" s="5">
        <v>253.99</v>
      </c>
      <c r="L91" s="5">
        <v>60</v>
      </c>
      <c r="M91" s="5">
        <v>180</v>
      </c>
      <c r="N91" t="s">
        <v>51</v>
      </c>
      <c r="O91" t="s">
        <v>52</v>
      </c>
      <c r="P91" s="2">
        <v>53.34</v>
      </c>
      <c r="Q91" s="2">
        <v>307.33</v>
      </c>
    </row>
    <row r="92" spans="1:17" x14ac:dyDescent="0.25">
      <c r="A92" t="s">
        <v>14</v>
      </c>
      <c r="B92" t="s">
        <v>15</v>
      </c>
      <c r="C92" t="s">
        <v>53</v>
      </c>
      <c r="D92" t="s">
        <v>54</v>
      </c>
      <c r="E92">
        <v>3</v>
      </c>
      <c r="F92">
        <v>3</v>
      </c>
      <c r="G92" s="5">
        <v>70.415</v>
      </c>
      <c r="H92" s="5">
        <v>4.105</v>
      </c>
      <c r="I92" s="6">
        <v>5</v>
      </c>
      <c r="J92" s="5">
        <v>67.099</v>
      </c>
      <c r="K92" s="5">
        <v>201.3</v>
      </c>
      <c r="L92" s="5">
        <v>30</v>
      </c>
      <c r="M92" s="5">
        <v>90</v>
      </c>
      <c r="N92" t="s">
        <v>51</v>
      </c>
      <c r="O92" t="s">
        <v>52</v>
      </c>
      <c r="P92" s="2">
        <v>42.27</v>
      </c>
      <c r="Q92" s="2">
        <v>243.57</v>
      </c>
    </row>
    <row r="93" spans="1:17" x14ac:dyDescent="0.25">
      <c r="A93" t="s">
        <v>14</v>
      </c>
      <c r="B93" t="s">
        <v>15</v>
      </c>
      <c r="C93" t="s">
        <v>120</v>
      </c>
      <c r="D93" t="s">
        <v>121</v>
      </c>
      <c r="E93">
        <v>2</v>
      </c>
      <c r="F93">
        <v>48</v>
      </c>
      <c r="G93" s="5">
        <v>17.832</v>
      </c>
      <c r="H93" s="5">
        <v>0.638</v>
      </c>
      <c r="J93" s="5">
        <v>17.832</v>
      </c>
      <c r="K93" s="5">
        <v>35.66</v>
      </c>
      <c r="L93" s="5">
        <v>5</v>
      </c>
      <c r="M93" s="5">
        <v>10</v>
      </c>
      <c r="N93" t="s">
        <v>97</v>
      </c>
      <c r="O93" t="s">
        <v>52</v>
      </c>
      <c r="P93" s="2">
        <v>2.14</v>
      </c>
      <c r="Q93" s="2">
        <v>37.8</v>
      </c>
    </row>
    <row r="94" spans="1:17" x14ac:dyDescent="0.25">
      <c r="A94" t="s">
        <v>14</v>
      </c>
      <c r="B94" t="s">
        <v>15</v>
      </c>
      <c r="C94" t="s">
        <v>73</v>
      </c>
      <c r="D94" t="s">
        <v>74</v>
      </c>
      <c r="E94">
        <v>22</v>
      </c>
      <c r="F94">
        <v>22</v>
      </c>
      <c r="G94" s="5">
        <v>1.687</v>
      </c>
      <c r="H94" s="5">
        <v>0.128</v>
      </c>
      <c r="J94" s="5">
        <v>1.687</v>
      </c>
      <c r="K94" s="5">
        <v>37.11</v>
      </c>
      <c r="L94" s="5">
        <v>0.1</v>
      </c>
      <c r="M94" s="5">
        <v>2.2</v>
      </c>
      <c r="N94" t="s">
        <v>51</v>
      </c>
      <c r="O94" t="s">
        <v>52</v>
      </c>
      <c r="P94" s="2">
        <v>7.79</v>
      </c>
      <c r="Q94" s="2">
        <v>44.9</v>
      </c>
    </row>
    <row r="95" spans="1:17" x14ac:dyDescent="0.25">
      <c r="A95" t="s">
        <v>14</v>
      </c>
      <c r="B95" t="s">
        <v>15</v>
      </c>
      <c r="C95" t="s">
        <v>186</v>
      </c>
      <c r="D95" t="s">
        <v>187</v>
      </c>
      <c r="E95">
        <v>3</v>
      </c>
      <c r="F95">
        <v>72</v>
      </c>
      <c r="G95" s="5">
        <v>46.224</v>
      </c>
      <c r="H95" s="5">
        <v>2.549</v>
      </c>
      <c r="J95" s="5">
        <v>46.224</v>
      </c>
      <c r="K95" s="5">
        <v>138.67</v>
      </c>
      <c r="L95" s="5">
        <v>7.5</v>
      </c>
      <c r="M95" s="5">
        <v>22.5</v>
      </c>
      <c r="N95" t="s">
        <v>51</v>
      </c>
      <c r="O95" t="s">
        <v>52</v>
      </c>
      <c r="P95" s="2">
        <v>29.12</v>
      </c>
      <c r="Q95" s="2">
        <v>167.79</v>
      </c>
    </row>
    <row r="96" spans="1:17" x14ac:dyDescent="0.25">
      <c r="A96" t="s">
        <v>14</v>
      </c>
      <c r="B96" t="s">
        <v>15</v>
      </c>
      <c r="C96" t="s">
        <v>77</v>
      </c>
      <c r="D96" t="s">
        <v>78</v>
      </c>
      <c r="E96">
        <v>2</v>
      </c>
      <c r="F96">
        <v>48</v>
      </c>
      <c r="G96" s="5">
        <v>36.36</v>
      </c>
      <c r="H96" s="5">
        <v>2.467</v>
      </c>
      <c r="J96" s="5">
        <v>36.36</v>
      </c>
      <c r="K96" s="5">
        <v>72.72</v>
      </c>
      <c r="L96" s="5">
        <v>4.5</v>
      </c>
      <c r="M96" s="5">
        <v>9</v>
      </c>
      <c r="N96" t="s">
        <v>51</v>
      </c>
      <c r="O96" t="s">
        <v>52</v>
      </c>
      <c r="P96" s="2">
        <v>15.27</v>
      </c>
      <c r="Q96" s="2">
        <v>87.99</v>
      </c>
    </row>
    <row r="97" spans="1:17" x14ac:dyDescent="0.25">
      <c r="A97" t="s">
        <v>16</v>
      </c>
      <c r="B97" t="s">
        <v>17</v>
      </c>
      <c r="C97" t="s">
        <v>53</v>
      </c>
      <c r="D97" t="s">
        <v>54</v>
      </c>
      <c r="E97">
        <v>4</v>
      </c>
      <c r="F97">
        <v>4</v>
      </c>
      <c r="G97" s="5">
        <v>70.415</v>
      </c>
      <c r="H97" s="5">
        <v>4.105</v>
      </c>
      <c r="I97" s="6">
        <v>5</v>
      </c>
      <c r="J97" s="5">
        <v>67.099</v>
      </c>
      <c r="K97" s="5">
        <v>268.4</v>
      </c>
      <c r="L97" s="5">
        <v>30</v>
      </c>
      <c r="M97" s="5">
        <v>120</v>
      </c>
      <c r="N97" t="s">
        <v>51</v>
      </c>
      <c r="O97" t="s">
        <v>52</v>
      </c>
      <c r="P97" s="2">
        <v>56.36</v>
      </c>
      <c r="Q97" s="2">
        <v>324.76</v>
      </c>
    </row>
    <row r="98" spans="1:17" x14ac:dyDescent="0.25">
      <c r="A98" t="s">
        <v>16</v>
      </c>
      <c r="B98" t="s">
        <v>17</v>
      </c>
      <c r="C98" t="s">
        <v>55</v>
      </c>
      <c r="D98" t="s">
        <v>56</v>
      </c>
      <c r="E98">
        <v>2</v>
      </c>
      <c r="F98">
        <v>2</v>
      </c>
      <c r="G98" s="5">
        <v>88.766</v>
      </c>
      <c r="H98" s="5">
        <v>6.69</v>
      </c>
      <c r="I98" s="6">
        <v>5</v>
      </c>
      <c r="J98" s="5">
        <v>84.662</v>
      </c>
      <c r="K98" s="5">
        <v>169.32</v>
      </c>
      <c r="L98" s="5">
        <v>60</v>
      </c>
      <c r="M98" s="5">
        <v>120</v>
      </c>
      <c r="N98" t="s">
        <v>51</v>
      </c>
      <c r="O98" t="s">
        <v>52</v>
      </c>
      <c r="P98" s="2">
        <v>35.56</v>
      </c>
      <c r="Q98" s="2">
        <v>204.88</v>
      </c>
    </row>
    <row r="99" spans="1:17" x14ac:dyDescent="0.25">
      <c r="A99" t="s">
        <v>16</v>
      </c>
      <c r="B99" t="s">
        <v>17</v>
      </c>
      <c r="C99" t="s">
        <v>73</v>
      </c>
      <c r="D99" t="s">
        <v>74</v>
      </c>
      <c r="E99">
        <v>1</v>
      </c>
      <c r="F99">
        <v>24</v>
      </c>
      <c r="G99" s="5">
        <v>40.488</v>
      </c>
      <c r="H99" s="5">
        <v>3.081</v>
      </c>
      <c r="J99" s="5">
        <v>40.488</v>
      </c>
      <c r="K99" s="5">
        <v>40.49</v>
      </c>
      <c r="L99" s="5">
        <v>4.5</v>
      </c>
      <c r="M99" s="5">
        <v>4.5</v>
      </c>
      <c r="N99" t="s">
        <v>51</v>
      </c>
      <c r="O99" t="s">
        <v>52</v>
      </c>
      <c r="P99" s="2">
        <v>8.5</v>
      </c>
      <c r="Q99" s="2">
        <v>48.99</v>
      </c>
    </row>
    <row r="100" spans="1:17" x14ac:dyDescent="0.25">
      <c r="A100" t="s">
        <v>16</v>
      </c>
      <c r="B100" t="s">
        <v>17</v>
      </c>
      <c r="C100" t="s">
        <v>81</v>
      </c>
      <c r="D100" t="s">
        <v>82</v>
      </c>
      <c r="E100">
        <v>1</v>
      </c>
      <c r="F100">
        <v>24</v>
      </c>
      <c r="G100" s="5">
        <v>37.464</v>
      </c>
      <c r="H100" s="5">
        <v>2.763</v>
      </c>
      <c r="J100" s="5">
        <v>37.464</v>
      </c>
      <c r="K100" s="5">
        <v>37.46</v>
      </c>
      <c r="L100" s="5">
        <v>4.5</v>
      </c>
      <c r="M100" s="5">
        <v>4.5</v>
      </c>
      <c r="N100" t="s">
        <v>51</v>
      </c>
      <c r="O100" t="s">
        <v>52</v>
      </c>
      <c r="P100" s="2">
        <v>7.87</v>
      </c>
      <c r="Q100" s="2">
        <v>45.33</v>
      </c>
    </row>
    <row r="101" spans="1:17" x14ac:dyDescent="0.25">
      <c r="A101" t="s">
        <v>16</v>
      </c>
      <c r="B101" t="s">
        <v>17</v>
      </c>
      <c r="C101" t="s">
        <v>71</v>
      </c>
      <c r="D101" t="s">
        <v>72</v>
      </c>
      <c r="E101">
        <v>1</v>
      </c>
      <c r="F101">
        <v>24</v>
      </c>
      <c r="G101" s="5">
        <v>38.184</v>
      </c>
      <c r="H101" s="5">
        <v>2.764</v>
      </c>
      <c r="J101" s="5">
        <v>38.184</v>
      </c>
      <c r="K101" s="5">
        <v>38.18</v>
      </c>
      <c r="L101" s="5">
        <v>4.5</v>
      </c>
      <c r="M101" s="5">
        <v>4.5</v>
      </c>
      <c r="N101" t="s">
        <v>51</v>
      </c>
      <c r="O101" t="s">
        <v>52</v>
      </c>
      <c r="P101" s="2">
        <v>8.02</v>
      </c>
      <c r="Q101" s="2">
        <v>46.2</v>
      </c>
    </row>
    <row r="102" spans="1:17" x14ac:dyDescent="0.25">
      <c r="A102" t="s">
        <v>16</v>
      </c>
      <c r="B102" t="s">
        <v>17</v>
      </c>
      <c r="C102" t="s">
        <v>69</v>
      </c>
      <c r="D102" t="s">
        <v>70</v>
      </c>
      <c r="E102">
        <v>1</v>
      </c>
      <c r="F102">
        <v>24</v>
      </c>
      <c r="G102" s="5">
        <v>50.016</v>
      </c>
      <c r="H102" s="5">
        <v>2.763</v>
      </c>
      <c r="J102" s="5">
        <v>50.016</v>
      </c>
      <c r="K102" s="5">
        <v>50.02</v>
      </c>
      <c r="L102" s="5">
        <v>4.5</v>
      </c>
      <c r="M102" s="5">
        <v>4.5</v>
      </c>
      <c r="N102" t="s">
        <v>51</v>
      </c>
      <c r="O102" t="s">
        <v>52</v>
      </c>
      <c r="P102" s="2">
        <v>10.5</v>
      </c>
      <c r="Q102" s="2">
        <v>60.52</v>
      </c>
    </row>
    <row r="103" spans="1:17" x14ac:dyDescent="0.25">
      <c r="A103" t="s">
        <v>16</v>
      </c>
      <c r="B103" t="s">
        <v>17</v>
      </c>
      <c r="C103" t="s">
        <v>63</v>
      </c>
      <c r="D103" t="s">
        <v>64</v>
      </c>
      <c r="E103">
        <v>3</v>
      </c>
      <c r="F103">
        <v>72</v>
      </c>
      <c r="G103" s="5">
        <v>24.672</v>
      </c>
      <c r="H103" s="5">
        <v>1.613</v>
      </c>
      <c r="J103" s="5">
        <v>24.672</v>
      </c>
      <c r="K103" s="5">
        <v>74.02</v>
      </c>
      <c r="L103" s="5">
        <v>4.5</v>
      </c>
      <c r="M103" s="5">
        <v>13.5</v>
      </c>
      <c r="N103" t="s">
        <v>51</v>
      </c>
      <c r="O103" t="s">
        <v>52</v>
      </c>
      <c r="P103" s="2">
        <v>15.54</v>
      </c>
      <c r="Q103" s="2">
        <v>89.56</v>
      </c>
    </row>
    <row r="104" spans="1:17" x14ac:dyDescent="0.25">
      <c r="A104" t="s">
        <v>16</v>
      </c>
      <c r="B104" t="s">
        <v>17</v>
      </c>
      <c r="C104" t="s">
        <v>100</v>
      </c>
      <c r="D104" t="s">
        <v>101</v>
      </c>
      <c r="E104">
        <v>1</v>
      </c>
      <c r="F104">
        <v>28</v>
      </c>
      <c r="G104" s="5">
        <v>12.684</v>
      </c>
      <c r="H104" s="5">
        <v>0.178</v>
      </c>
      <c r="J104" s="5">
        <v>12.684</v>
      </c>
      <c r="K104" s="5">
        <v>12.68</v>
      </c>
      <c r="L104" s="5">
        <v>5</v>
      </c>
      <c r="M104" s="5">
        <v>5</v>
      </c>
      <c r="N104" t="s">
        <v>97</v>
      </c>
      <c r="O104" t="s">
        <v>52</v>
      </c>
      <c r="P104" s="2">
        <v>0.76</v>
      </c>
      <c r="Q104" s="2">
        <v>13.44</v>
      </c>
    </row>
    <row r="105" spans="1:17" x14ac:dyDescent="0.25">
      <c r="A105" t="s">
        <v>16</v>
      </c>
      <c r="B105" t="s">
        <v>17</v>
      </c>
      <c r="C105" t="s">
        <v>188</v>
      </c>
      <c r="D105" t="s">
        <v>189</v>
      </c>
      <c r="E105">
        <v>1</v>
      </c>
      <c r="F105">
        <v>6</v>
      </c>
      <c r="G105" s="5">
        <v>9.342</v>
      </c>
      <c r="H105" s="5">
        <v>0.885</v>
      </c>
      <c r="J105" s="5">
        <v>9.342</v>
      </c>
      <c r="K105" s="5">
        <v>9.34</v>
      </c>
      <c r="L105" s="5">
        <v>3.5</v>
      </c>
      <c r="M105" s="5">
        <v>3.5</v>
      </c>
      <c r="N105" t="s">
        <v>97</v>
      </c>
      <c r="O105" t="s">
        <v>52</v>
      </c>
      <c r="P105" s="2">
        <v>0.56</v>
      </c>
      <c r="Q105" s="2">
        <v>9.9</v>
      </c>
    </row>
    <row r="106" spans="1:17" x14ac:dyDescent="0.25">
      <c r="A106" t="s">
        <v>16</v>
      </c>
      <c r="B106" t="s">
        <v>17</v>
      </c>
      <c r="C106" t="s">
        <v>190</v>
      </c>
      <c r="D106" t="s">
        <v>191</v>
      </c>
      <c r="E106">
        <v>1</v>
      </c>
      <c r="F106">
        <v>6</v>
      </c>
      <c r="G106" s="5">
        <v>9.342</v>
      </c>
      <c r="H106" s="5">
        <v>0.885</v>
      </c>
      <c r="J106" s="5">
        <v>9.342</v>
      </c>
      <c r="K106" s="5">
        <v>9.34</v>
      </c>
      <c r="L106" s="5">
        <v>3.5</v>
      </c>
      <c r="M106" s="5">
        <v>3.5</v>
      </c>
      <c r="N106" t="s">
        <v>97</v>
      </c>
      <c r="O106" t="s">
        <v>52</v>
      </c>
      <c r="P106" s="2">
        <v>0.56</v>
      </c>
      <c r="Q106" s="2">
        <v>9.9</v>
      </c>
    </row>
    <row r="107" spans="1:17" x14ac:dyDescent="0.25">
      <c r="A107" t="s">
        <v>16</v>
      </c>
      <c r="B107" t="s">
        <v>17</v>
      </c>
      <c r="C107" t="s">
        <v>192</v>
      </c>
      <c r="D107" t="s">
        <v>193</v>
      </c>
      <c r="E107">
        <v>1</v>
      </c>
      <c r="F107">
        <v>6</v>
      </c>
      <c r="G107" s="5">
        <v>18.126</v>
      </c>
      <c r="H107" s="5">
        <v>0.72</v>
      </c>
      <c r="J107" s="5">
        <v>18.126</v>
      </c>
      <c r="K107" s="5">
        <v>18.13</v>
      </c>
      <c r="L107" s="5">
        <v>3.5</v>
      </c>
      <c r="M107" s="5">
        <v>3.5</v>
      </c>
      <c r="N107" t="s">
        <v>97</v>
      </c>
      <c r="O107" t="s">
        <v>52</v>
      </c>
      <c r="P107" s="2">
        <v>1.09</v>
      </c>
      <c r="Q107" s="2">
        <v>19.22</v>
      </c>
    </row>
    <row r="108" spans="1:17" x14ac:dyDescent="0.25">
      <c r="A108" t="s">
        <v>16</v>
      </c>
      <c r="B108" t="s">
        <v>17</v>
      </c>
      <c r="C108" t="s">
        <v>79</v>
      </c>
      <c r="D108" t="s">
        <v>194</v>
      </c>
      <c r="E108">
        <v>-1</v>
      </c>
      <c r="F108">
        <v>-1</v>
      </c>
      <c r="G108" s="5">
        <v>2441.04</v>
      </c>
      <c r="H108" s="5">
        <v>2.467</v>
      </c>
      <c r="J108" s="5">
        <v>41.04</v>
      </c>
      <c r="K108" s="5">
        <v>-41.04</v>
      </c>
      <c r="L108" s="5">
        <v>4.5</v>
      </c>
      <c r="M108" s="5">
        <v>-4.5</v>
      </c>
      <c r="N108" t="s">
        <v>51</v>
      </c>
      <c r="O108" t="s">
        <v>52</v>
      </c>
      <c r="P108" s="2">
        <v>-8.62</v>
      </c>
      <c r="Q108" s="2">
        <v>-49.66</v>
      </c>
    </row>
    <row r="109" spans="1:17" x14ac:dyDescent="0.25">
      <c r="A109" t="s">
        <v>16</v>
      </c>
      <c r="B109" t="s">
        <v>17</v>
      </c>
      <c r="C109" t="s">
        <v>57</v>
      </c>
      <c r="D109" t="s">
        <v>58</v>
      </c>
      <c r="E109">
        <v>-23</v>
      </c>
      <c r="F109">
        <v>-23</v>
      </c>
      <c r="G109" s="5">
        <v>1.149</v>
      </c>
      <c r="H109" s="5">
        <v>0.088</v>
      </c>
      <c r="J109" s="5">
        <v>1.149</v>
      </c>
      <c r="K109" s="5">
        <v>-26.43</v>
      </c>
      <c r="L109" s="5">
        <v>0.191</v>
      </c>
      <c r="M109" s="5">
        <v>-4.4</v>
      </c>
      <c r="N109" t="s">
        <v>51</v>
      </c>
      <c r="O109" t="s">
        <v>52</v>
      </c>
      <c r="P109" s="2">
        <v>-5.55</v>
      </c>
      <c r="Q109" s="2">
        <v>-31.98</v>
      </c>
    </row>
    <row r="110" spans="1:17" x14ac:dyDescent="0.25">
      <c r="A110" t="s">
        <v>16</v>
      </c>
      <c r="B110" t="s">
        <v>17</v>
      </c>
      <c r="C110" t="s">
        <v>195</v>
      </c>
      <c r="D110" t="s">
        <v>196</v>
      </c>
      <c r="G110" s="5"/>
      <c r="H110" s="5"/>
      <c r="J110" s="5"/>
      <c r="K110" s="5"/>
      <c r="L110" s="5">
        <v>30</v>
      </c>
      <c r="M110" s="5">
        <v>-120</v>
      </c>
      <c r="N110" t="s">
        <v>33</v>
      </c>
      <c r="O110" t="s">
        <v>197</v>
      </c>
      <c r="P110" s="2"/>
      <c r="Q110" s="2"/>
    </row>
    <row r="111" spans="1:17" x14ac:dyDescent="0.25">
      <c r="A111" t="s">
        <v>16</v>
      </c>
      <c r="B111" t="s">
        <v>17</v>
      </c>
      <c r="C111" t="s">
        <v>183</v>
      </c>
      <c r="D111" t="s">
        <v>184</v>
      </c>
      <c r="G111" s="5"/>
      <c r="H111" s="5"/>
      <c r="J111" s="5"/>
      <c r="K111" s="5"/>
      <c r="L111" s="5">
        <v>60</v>
      </c>
      <c r="M111" s="5">
        <v>-120</v>
      </c>
      <c r="N111" t="s">
        <v>33</v>
      </c>
      <c r="O111" t="s">
        <v>185</v>
      </c>
      <c r="P111" s="2"/>
      <c r="Q111" s="2"/>
    </row>
    <row r="112" spans="1:17" x14ac:dyDescent="0.25">
      <c r="A112" t="s">
        <v>16</v>
      </c>
      <c r="B112" t="s">
        <v>17</v>
      </c>
      <c r="C112" t="s">
        <v>198</v>
      </c>
      <c r="D112" t="s">
        <v>199</v>
      </c>
      <c r="G112" s="5"/>
      <c r="H112" s="5"/>
      <c r="J112" s="5"/>
      <c r="K112" s="5"/>
      <c r="L112" s="5">
        <v>5</v>
      </c>
      <c r="M112" s="5">
        <v>-15</v>
      </c>
      <c r="N112" t="s">
        <v>33</v>
      </c>
      <c r="O112" t="s">
        <v>197</v>
      </c>
      <c r="P112" s="2"/>
      <c r="Q112" s="2"/>
    </row>
    <row r="113" spans="1:17" x14ac:dyDescent="0.25">
      <c r="A113" t="s">
        <v>16</v>
      </c>
      <c r="B113" t="s">
        <v>17</v>
      </c>
      <c r="C113" t="s">
        <v>200</v>
      </c>
      <c r="D113" t="s">
        <v>201</v>
      </c>
      <c r="G113" s="5"/>
      <c r="H113" s="5"/>
      <c r="J113" s="5"/>
      <c r="K113" s="5"/>
      <c r="L113" s="5">
        <v>8.52</v>
      </c>
      <c r="M113" s="5">
        <v>-8.52</v>
      </c>
      <c r="N113" t="s">
        <v>33</v>
      </c>
      <c r="O113" t="s">
        <v>197</v>
      </c>
      <c r="P113" s="2"/>
      <c r="Q113" s="2"/>
    </row>
    <row r="114" spans="1:17" x14ac:dyDescent="0.25">
      <c r="A114" t="s">
        <v>16</v>
      </c>
      <c r="B114" t="s">
        <v>17</v>
      </c>
      <c r="C114" t="s">
        <v>202</v>
      </c>
      <c r="D114" t="s">
        <v>203</v>
      </c>
      <c r="G114" s="5"/>
      <c r="H114" s="5"/>
      <c r="J114" s="5"/>
      <c r="K114" s="5"/>
      <c r="L114" s="5">
        <v>4.5</v>
      </c>
      <c r="M114" s="5">
        <v>-31.5</v>
      </c>
      <c r="N114" t="s">
        <v>33</v>
      </c>
      <c r="O114" t="s">
        <v>197</v>
      </c>
      <c r="P114" s="2"/>
      <c r="Q114" s="2"/>
    </row>
    <row r="115" spans="1:17" x14ac:dyDescent="0.25">
      <c r="A115" t="s">
        <v>16</v>
      </c>
      <c r="B115" t="s">
        <v>17</v>
      </c>
      <c r="C115" t="s">
        <v>204</v>
      </c>
      <c r="D115" t="s">
        <v>205</v>
      </c>
      <c r="G115" s="5"/>
      <c r="H115" s="5"/>
      <c r="J115" s="5"/>
      <c r="K115" s="5"/>
      <c r="L115" s="5">
        <v>0.1</v>
      </c>
      <c r="M115" s="5">
        <v>0.3</v>
      </c>
      <c r="N115" t="s">
        <v>33</v>
      </c>
      <c r="O115" t="s">
        <v>197</v>
      </c>
      <c r="P115" s="2"/>
      <c r="Q115" s="2"/>
    </row>
    <row r="116" spans="1:17" x14ac:dyDescent="0.25">
      <c r="A116" t="s">
        <v>18</v>
      </c>
      <c r="B116" t="s">
        <v>19</v>
      </c>
      <c r="C116" t="s">
        <v>55</v>
      </c>
      <c r="D116" t="s">
        <v>56</v>
      </c>
      <c r="E116">
        <v>-3</v>
      </c>
      <c r="F116">
        <v>-3</v>
      </c>
      <c r="G116" s="5">
        <v>88.766</v>
      </c>
      <c r="H116" s="5">
        <v>6.69</v>
      </c>
      <c r="I116" s="6">
        <v>5</v>
      </c>
      <c r="J116" s="5">
        <v>84.662</v>
      </c>
      <c r="K116" s="5">
        <v>-253.99</v>
      </c>
      <c r="L116" s="5">
        <v>60</v>
      </c>
      <c r="M116" s="5">
        <v>-180</v>
      </c>
      <c r="N116" t="s">
        <v>51</v>
      </c>
      <c r="O116" t="s">
        <v>52</v>
      </c>
      <c r="P116" s="2">
        <v>-53.34</v>
      </c>
      <c r="Q116" s="2">
        <v>-307.33</v>
      </c>
    </row>
    <row r="117" spans="1:17" x14ac:dyDescent="0.25">
      <c r="A117" t="s">
        <v>18</v>
      </c>
      <c r="B117" t="s">
        <v>19</v>
      </c>
      <c r="C117" t="s">
        <v>53</v>
      </c>
      <c r="D117" t="s">
        <v>54</v>
      </c>
      <c r="E117">
        <v>-3</v>
      </c>
      <c r="F117">
        <v>-3</v>
      </c>
      <c r="G117" s="5">
        <v>70.415</v>
      </c>
      <c r="H117" s="5">
        <v>4.105</v>
      </c>
      <c r="I117" s="6">
        <v>5</v>
      </c>
      <c r="J117" s="5">
        <v>67.099</v>
      </c>
      <c r="K117" s="5">
        <v>-201.3</v>
      </c>
      <c r="L117" s="5">
        <v>30</v>
      </c>
      <c r="M117" s="5">
        <v>-90</v>
      </c>
      <c r="N117" t="s">
        <v>51</v>
      </c>
      <c r="O117" t="s">
        <v>52</v>
      </c>
      <c r="P117" s="2">
        <v>-42.27</v>
      </c>
      <c r="Q117" s="2">
        <v>-243.57</v>
      </c>
    </row>
    <row r="118" spans="1:17" x14ac:dyDescent="0.25">
      <c r="A118" t="s">
        <v>18</v>
      </c>
      <c r="B118" t="s">
        <v>19</v>
      </c>
      <c r="C118" t="s">
        <v>120</v>
      </c>
      <c r="D118" t="s">
        <v>206</v>
      </c>
      <c r="E118">
        <v>-2</v>
      </c>
      <c r="F118">
        <v>-2</v>
      </c>
      <c r="G118" s="5">
        <v>2417.832</v>
      </c>
      <c r="H118" s="5">
        <v>0.638</v>
      </c>
      <c r="J118" s="5">
        <v>17.832</v>
      </c>
      <c r="K118" s="5">
        <v>-35.66</v>
      </c>
      <c r="L118" s="5">
        <v>5</v>
      </c>
      <c r="M118" s="5">
        <v>-10</v>
      </c>
      <c r="N118" t="s">
        <v>97</v>
      </c>
      <c r="O118" t="s">
        <v>52</v>
      </c>
      <c r="P118" s="2">
        <v>-2.14</v>
      </c>
      <c r="Q118" s="2">
        <v>-37.8</v>
      </c>
    </row>
    <row r="119" spans="1:17" x14ac:dyDescent="0.25">
      <c r="A119" t="s">
        <v>18</v>
      </c>
      <c r="B119" t="s">
        <v>19</v>
      </c>
      <c r="C119" t="s">
        <v>73</v>
      </c>
      <c r="D119" t="s">
        <v>74</v>
      </c>
      <c r="E119">
        <v>-22</v>
      </c>
      <c r="F119">
        <v>-22</v>
      </c>
      <c r="G119" s="5">
        <v>1.687</v>
      </c>
      <c r="H119" s="5">
        <v>0.128</v>
      </c>
      <c r="J119" s="5">
        <v>1.687</v>
      </c>
      <c r="K119" s="5">
        <v>-37.11</v>
      </c>
      <c r="L119" s="5">
        <v>0.195</v>
      </c>
      <c r="M119" s="5">
        <v>-4.3</v>
      </c>
      <c r="N119" t="s">
        <v>51</v>
      </c>
      <c r="O119" t="s">
        <v>52</v>
      </c>
      <c r="P119" s="2">
        <v>-7.79</v>
      </c>
      <c r="Q119" s="2">
        <v>-44.9</v>
      </c>
    </row>
    <row r="120" spans="1:17" x14ac:dyDescent="0.25">
      <c r="A120" t="s">
        <v>18</v>
      </c>
      <c r="B120" t="s">
        <v>19</v>
      </c>
      <c r="C120" t="s">
        <v>186</v>
      </c>
      <c r="D120" t="s">
        <v>207</v>
      </c>
      <c r="E120">
        <v>-3</v>
      </c>
      <c r="F120">
        <v>-3</v>
      </c>
      <c r="G120" s="5">
        <v>2446.224</v>
      </c>
      <c r="H120" s="5">
        <v>2.549</v>
      </c>
      <c r="J120" s="5">
        <v>46.224</v>
      </c>
      <c r="K120" s="5">
        <v>-138.67</v>
      </c>
      <c r="L120" s="5">
        <v>7.5</v>
      </c>
      <c r="M120" s="5">
        <v>-22.5</v>
      </c>
      <c r="N120" t="s">
        <v>51</v>
      </c>
      <c r="O120" t="s">
        <v>52</v>
      </c>
      <c r="P120" s="2">
        <v>-29.12</v>
      </c>
      <c r="Q120" s="2">
        <v>-167.79</v>
      </c>
    </row>
    <row r="121" spans="1:17" x14ac:dyDescent="0.25">
      <c r="A121" t="s">
        <v>18</v>
      </c>
      <c r="B121" t="s">
        <v>19</v>
      </c>
      <c r="C121" t="s">
        <v>77</v>
      </c>
      <c r="D121" t="s">
        <v>208</v>
      </c>
      <c r="E121">
        <v>-2</v>
      </c>
      <c r="F121">
        <v>-2</v>
      </c>
      <c r="G121" s="5">
        <v>2436.36</v>
      </c>
      <c r="H121" s="5">
        <v>2.467</v>
      </c>
      <c r="J121" s="5">
        <v>36.36</v>
      </c>
      <c r="K121" s="5">
        <v>-72.72</v>
      </c>
      <c r="L121" s="5">
        <v>4.5</v>
      </c>
      <c r="M121" s="5">
        <v>-9</v>
      </c>
      <c r="N121" t="s">
        <v>51</v>
      </c>
      <c r="O121" t="s">
        <v>52</v>
      </c>
      <c r="P121" s="2">
        <v>-15.27</v>
      </c>
      <c r="Q121" s="2">
        <v>-87.99</v>
      </c>
    </row>
    <row r="122" spans="1:17" x14ac:dyDescent="0.25">
      <c r="A122" t="s">
        <v>18</v>
      </c>
      <c r="B122" t="s">
        <v>19</v>
      </c>
      <c r="C122" t="s">
        <v>55</v>
      </c>
      <c r="D122" t="s">
        <v>56</v>
      </c>
      <c r="E122">
        <v>3</v>
      </c>
      <c r="F122">
        <v>3</v>
      </c>
      <c r="G122" s="5">
        <v>88.766</v>
      </c>
      <c r="H122" s="5">
        <v>6.69</v>
      </c>
      <c r="I122" s="6">
        <v>5</v>
      </c>
      <c r="J122" s="5">
        <v>84.662</v>
      </c>
      <c r="K122" s="5">
        <v>253.99</v>
      </c>
      <c r="L122" s="5">
        <v>60</v>
      </c>
      <c r="M122" s="5">
        <v>180</v>
      </c>
      <c r="N122" t="s">
        <v>51</v>
      </c>
      <c r="O122" t="s">
        <v>52</v>
      </c>
      <c r="P122" s="2">
        <v>53.34</v>
      </c>
      <c r="Q122" s="2">
        <v>307.33</v>
      </c>
    </row>
    <row r="123" spans="1:17" x14ac:dyDescent="0.25">
      <c r="A123" t="s">
        <v>18</v>
      </c>
      <c r="B123" t="s">
        <v>19</v>
      </c>
      <c r="C123" t="s">
        <v>53</v>
      </c>
      <c r="D123" t="s">
        <v>54</v>
      </c>
      <c r="E123">
        <v>3</v>
      </c>
      <c r="F123">
        <v>3</v>
      </c>
      <c r="G123" s="5">
        <v>70.415</v>
      </c>
      <c r="H123" s="5">
        <v>4.105</v>
      </c>
      <c r="I123" s="6">
        <v>5</v>
      </c>
      <c r="J123" s="5">
        <v>67.099</v>
      </c>
      <c r="K123" s="5">
        <v>201.3</v>
      </c>
      <c r="L123" s="5">
        <v>30</v>
      </c>
      <c r="M123" s="5">
        <v>90</v>
      </c>
      <c r="N123" t="s">
        <v>51</v>
      </c>
      <c r="O123" t="s">
        <v>52</v>
      </c>
      <c r="P123" s="2">
        <v>42.27</v>
      </c>
      <c r="Q123" s="2">
        <v>243.57</v>
      </c>
    </row>
    <row r="124" spans="1:17" x14ac:dyDescent="0.25">
      <c r="A124" t="s">
        <v>18</v>
      </c>
      <c r="B124" t="s">
        <v>19</v>
      </c>
      <c r="C124" t="s">
        <v>120</v>
      </c>
      <c r="D124" t="s">
        <v>121</v>
      </c>
      <c r="E124">
        <v>2</v>
      </c>
      <c r="F124">
        <v>48</v>
      </c>
      <c r="G124" s="5">
        <v>16.584</v>
      </c>
      <c r="H124" s="5">
        <v>0.638</v>
      </c>
      <c r="J124" s="5">
        <v>16.584</v>
      </c>
      <c r="K124" s="5">
        <v>33.17</v>
      </c>
      <c r="L124" s="5">
        <v>5</v>
      </c>
      <c r="M124" s="5">
        <v>10</v>
      </c>
      <c r="N124" t="s">
        <v>97</v>
      </c>
      <c r="O124" t="s">
        <v>52</v>
      </c>
      <c r="P124" s="2">
        <v>1.99</v>
      </c>
      <c r="Q124" s="2">
        <v>35.16</v>
      </c>
    </row>
    <row r="125" spans="1:17" x14ac:dyDescent="0.25">
      <c r="A125" t="s">
        <v>18</v>
      </c>
      <c r="B125" t="s">
        <v>19</v>
      </c>
      <c r="C125" t="s">
        <v>73</v>
      </c>
      <c r="D125" t="s">
        <v>74</v>
      </c>
      <c r="E125">
        <v>22</v>
      </c>
      <c r="F125">
        <v>22</v>
      </c>
      <c r="G125" s="5">
        <v>1.567</v>
      </c>
      <c r="H125" s="5">
        <v>0.128</v>
      </c>
      <c r="J125" s="5">
        <v>1.567</v>
      </c>
      <c r="K125" s="5">
        <v>34.47</v>
      </c>
      <c r="L125" s="5">
        <v>0.1955</v>
      </c>
      <c r="M125" s="5">
        <v>4.3</v>
      </c>
      <c r="N125" t="s">
        <v>51</v>
      </c>
      <c r="O125" t="s">
        <v>52</v>
      </c>
      <c r="P125" s="2">
        <v>7.24</v>
      </c>
      <c r="Q125" s="2">
        <v>41.71</v>
      </c>
    </row>
    <row r="126" spans="1:17" x14ac:dyDescent="0.25">
      <c r="A126" t="s">
        <v>18</v>
      </c>
      <c r="B126" t="s">
        <v>19</v>
      </c>
      <c r="C126" t="s">
        <v>186</v>
      </c>
      <c r="D126" t="s">
        <v>187</v>
      </c>
      <c r="E126">
        <v>3</v>
      </c>
      <c r="F126">
        <v>72</v>
      </c>
      <c r="G126" s="5">
        <v>44.592</v>
      </c>
      <c r="H126" s="5">
        <v>2.549</v>
      </c>
      <c r="J126" s="5">
        <v>44.592</v>
      </c>
      <c r="K126" s="5">
        <v>133.78</v>
      </c>
      <c r="L126" s="5">
        <v>7.5</v>
      </c>
      <c r="M126" s="5">
        <v>22.5</v>
      </c>
      <c r="N126" t="s">
        <v>51</v>
      </c>
      <c r="O126" t="s">
        <v>52</v>
      </c>
      <c r="P126" s="2">
        <v>28.09</v>
      </c>
      <c r="Q126" s="2">
        <v>161.87</v>
      </c>
    </row>
    <row r="127" spans="1:17" x14ac:dyDescent="0.25">
      <c r="A127" t="s">
        <v>18</v>
      </c>
      <c r="B127" t="s">
        <v>19</v>
      </c>
      <c r="C127" t="s">
        <v>77</v>
      </c>
      <c r="D127" t="s">
        <v>78</v>
      </c>
      <c r="E127">
        <v>2</v>
      </c>
      <c r="F127">
        <v>48</v>
      </c>
      <c r="G127" s="5">
        <v>32.712</v>
      </c>
      <c r="H127" s="5">
        <v>2.467</v>
      </c>
      <c r="J127" s="5">
        <v>32.712</v>
      </c>
      <c r="K127" s="5">
        <v>65.42</v>
      </c>
      <c r="L127" s="5">
        <v>4.5</v>
      </c>
      <c r="M127" s="5">
        <v>9</v>
      </c>
      <c r="N127" t="s">
        <v>51</v>
      </c>
      <c r="O127" t="s">
        <v>52</v>
      </c>
      <c r="P127" s="2">
        <v>13.74</v>
      </c>
      <c r="Q127" s="2">
        <v>79.16</v>
      </c>
    </row>
    <row r="128" spans="1:17" x14ac:dyDescent="0.25">
      <c r="A128" t="s">
        <v>18</v>
      </c>
      <c r="B128" t="s">
        <v>19</v>
      </c>
      <c r="C128" t="s">
        <v>53</v>
      </c>
      <c r="D128" t="s">
        <v>54</v>
      </c>
      <c r="E128">
        <v>-4</v>
      </c>
      <c r="F128">
        <v>-4</v>
      </c>
      <c r="G128" s="5">
        <v>70.415</v>
      </c>
      <c r="H128" s="5">
        <v>4.105</v>
      </c>
      <c r="I128" s="6">
        <v>5</v>
      </c>
      <c r="J128" s="5">
        <v>67.099</v>
      </c>
      <c r="K128" s="5">
        <v>-268.4</v>
      </c>
      <c r="L128" s="5">
        <v>30</v>
      </c>
      <c r="M128" s="5">
        <v>-120</v>
      </c>
      <c r="N128" t="s">
        <v>51</v>
      </c>
      <c r="O128" t="s">
        <v>52</v>
      </c>
      <c r="P128" s="2">
        <v>-56.36</v>
      </c>
      <c r="Q128" s="2">
        <v>-324.76</v>
      </c>
    </row>
    <row r="129" spans="1:17" x14ac:dyDescent="0.25">
      <c r="A129" t="s">
        <v>18</v>
      </c>
      <c r="B129" t="s">
        <v>19</v>
      </c>
      <c r="C129" t="s">
        <v>55</v>
      </c>
      <c r="D129" t="s">
        <v>56</v>
      </c>
      <c r="E129">
        <v>-2</v>
      </c>
      <c r="F129">
        <v>-2</v>
      </c>
      <c r="G129" s="5">
        <v>88.766</v>
      </c>
      <c r="H129" s="5">
        <v>6.69</v>
      </c>
      <c r="I129" s="6">
        <v>5</v>
      </c>
      <c r="J129" s="5">
        <v>84.662</v>
      </c>
      <c r="K129" s="5">
        <v>-169.32</v>
      </c>
      <c r="L129" s="5">
        <v>60</v>
      </c>
      <c r="M129" s="5">
        <v>-120</v>
      </c>
      <c r="N129" t="s">
        <v>51</v>
      </c>
      <c r="O129" t="s">
        <v>52</v>
      </c>
      <c r="P129" s="2">
        <v>-35.56</v>
      </c>
      <c r="Q129" s="2">
        <v>-204.88</v>
      </c>
    </row>
    <row r="130" spans="1:17" x14ac:dyDescent="0.25">
      <c r="A130" t="s">
        <v>18</v>
      </c>
      <c r="B130" t="s">
        <v>19</v>
      </c>
      <c r="C130" t="s">
        <v>73</v>
      </c>
      <c r="D130" t="s">
        <v>209</v>
      </c>
      <c r="E130">
        <v>-1</v>
      </c>
      <c r="F130">
        <v>-1</v>
      </c>
      <c r="G130" s="5">
        <v>2440.488</v>
      </c>
      <c r="H130" s="5">
        <v>3.081</v>
      </c>
      <c r="J130" s="5">
        <v>40.488</v>
      </c>
      <c r="K130" s="5">
        <v>-40.49</v>
      </c>
      <c r="L130" s="5">
        <v>4.5</v>
      </c>
      <c r="M130" s="5">
        <v>-4.5</v>
      </c>
      <c r="N130" t="s">
        <v>51</v>
      </c>
      <c r="O130" t="s">
        <v>52</v>
      </c>
      <c r="P130" s="2">
        <v>-8.5</v>
      </c>
      <c r="Q130" s="2">
        <v>-48.99</v>
      </c>
    </row>
    <row r="131" spans="1:17" x14ac:dyDescent="0.25">
      <c r="A131" t="s">
        <v>18</v>
      </c>
      <c r="B131" t="s">
        <v>19</v>
      </c>
      <c r="C131" t="s">
        <v>81</v>
      </c>
      <c r="D131" t="s">
        <v>210</v>
      </c>
      <c r="E131">
        <v>-1</v>
      </c>
      <c r="F131">
        <v>-1</v>
      </c>
      <c r="G131" s="5">
        <v>2437.464</v>
      </c>
      <c r="H131" s="5">
        <v>2.763</v>
      </c>
      <c r="J131" s="5">
        <v>37.464</v>
      </c>
      <c r="K131" s="5">
        <v>-37.46</v>
      </c>
      <c r="L131" s="5">
        <v>4.5</v>
      </c>
      <c r="M131" s="5">
        <v>-4.5</v>
      </c>
      <c r="N131" t="s">
        <v>51</v>
      </c>
      <c r="O131" t="s">
        <v>52</v>
      </c>
      <c r="P131" s="2">
        <v>-7.87</v>
      </c>
      <c r="Q131" s="2">
        <v>-45.33</v>
      </c>
    </row>
    <row r="132" spans="1:17" x14ac:dyDescent="0.25">
      <c r="A132" t="s">
        <v>18</v>
      </c>
      <c r="B132" t="s">
        <v>19</v>
      </c>
      <c r="C132" t="s">
        <v>71</v>
      </c>
      <c r="D132" t="s">
        <v>211</v>
      </c>
      <c r="E132">
        <v>-1</v>
      </c>
      <c r="F132">
        <v>-1</v>
      </c>
      <c r="G132" s="5">
        <v>2438.184</v>
      </c>
      <c r="H132" s="5">
        <v>2.764</v>
      </c>
      <c r="J132" s="5">
        <v>38.184</v>
      </c>
      <c r="K132" s="5">
        <v>-38.18</v>
      </c>
      <c r="L132" s="5">
        <v>4.5</v>
      </c>
      <c r="M132" s="5">
        <v>-4.5</v>
      </c>
      <c r="N132" t="s">
        <v>51</v>
      </c>
      <c r="O132" t="s">
        <v>52</v>
      </c>
      <c r="P132" s="2">
        <v>-8.02</v>
      </c>
      <c r="Q132" s="2">
        <v>-46.2</v>
      </c>
    </row>
    <row r="133" spans="1:17" x14ac:dyDescent="0.25">
      <c r="A133" t="s">
        <v>18</v>
      </c>
      <c r="B133" t="s">
        <v>19</v>
      </c>
      <c r="C133" t="s">
        <v>69</v>
      </c>
      <c r="D133" t="s">
        <v>212</v>
      </c>
      <c r="E133">
        <v>-1</v>
      </c>
      <c r="F133">
        <v>-1</v>
      </c>
      <c r="G133" s="5">
        <v>2450.016</v>
      </c>
      <c r="H133" s="5">
        <v>2.763</v>
      </c>
      <c r="J133" s="5">
        <v>50.016</v>
      </c>
      <c r="K133" s="5">
        <v>-50.02</v>
      </c>
      <c r="L133" s="5">
        <v>4.5</v>
      </c>
      <c r="M133" s="5">
        <v>-4.5</v>
      </c>
      <c r="N133" t="s">
        <v>51</v>
      </c>
      <c r="O133" t="s">
        <v>52</v>
      </c>
      <c r="P133" s="2">
        <v>-10.5</v>
      </c>
      <c r="Q133" s="2">
        <v>-60.52</v>
      </c>
    </row>
    <row r="134" spans="1:17" x14ac:dyDescent="0.25">
      <c r="A134" t="s">
        <v>18</v>
      </c>
      <c r="B134" t="s">
        <v>19</v>
      </c>
      <c r="C134" t="s">
        <v>63</v>
      </c>
      <c r="D134" t="s">
        <v>213</v>
      </c>
      <c r="E134">
        <v>-3</v>
      </c>
      <c r="F134">
        <v>-3</v>
      </c>
      <c r="G134" s="5">
        <v>2424.672</v>
      </c>
      <c r="H134" s="5">
        <v>1.613</v>
      </c>
      <c r="J134" s="5">
        <v>24.672</v>
      </c>
      <c r="K134" s="5">
        <v>-74.02</v>
      </c>
      <c r="L134" s="5">
        <v>4.5</v>
      </c>
      <c r="M134" s="5">
        <v>-13.5</v>
      </c>
      <c r="N134" t="s">
        <v>51</v>
      </c>
      <c r="O134" t="s">
        <v>52</v>
      </c>
      <c r="P134" s="2">
        <v>-15.54</v>
      </c>
      <c r="Q134" s="2">
        <v>-89.56</v>
      </c>
    </row>
    <row r="135" spans="1:17" x14ac:dyDescent="0.25">
      <c r="A135" t="s">
        <v>18</v>
      </c>
      <c r="B135" t="s">
        <v>19</v>
      </c>
      <c r="C135" t="s">
        <v>100</v>
      </c>
      <c r="D135" t="s">
        <v>214</v>
      </c>
      <c r="E135">
        <v>-1</v>
      </c>
      <c r="F135">
        <v>-1</v>
      </c>
      <c r="G135" s="5">
        <v>2812.684</v>
      </c>
      <c r="H135" s="5">
        <v>0.178</v>
      </c>
      <c r="J135" s="5">
        <v>12.684</v>
      </c>
      <c r="K135" s="5">
        <v>-12.68</v>
      </c>
      <c r="L135" s="5">
        <v>5</v>
      </c>
      <c r="M135" s="5">
        <v>-5</v>
      </c>
      <c r="N135" t="s">
        <v>97</v>
      </c>
      <c r="O135" t="s">
        <v>52</v>
      </c>
      <c r="P135" s="2">
        <v>-0.76</v>
      </c>
      <c r="Q135" s="2">
        <v>-13.44</v>
      </c>
    </row>
    <row r="136" spans="1:17" x14ac:dyDescent="0.25">
      <c r="A136" t="s">
        <v>18</v>
      </c>
      <c r="B136" t="s">
        <v>19</v>
      </c>
      <c r="C136" t="s">
        <v>188</v>
      </c>
      <c r="D136" t="s">
        <v>215</v>
      </c>
      <c r="E136">
        <v>-1</v>
      </c>
      <c r="F136">
        <v>-1</v>
      </c>
      <c r="G136" s="5">
        <v>69.342</v>
      </c>
      <c r="H136" s="5">
        <v>0.885</v>
      </c>
      <c r="J136" s="5">
        <v>9.342</v>
      </c>
      <c r="K136" s="5">
        <v>-9.34</v>
      </c>
      <c r="L136" s="5">
        <v>3.5</v>
      </c>
      <c r="M136" s="5">
        <v>-3.5</v>
      </c>
      <c r="N136" t="s">
        <v>97</v>
      </c>
      <c r="O136" t="s">
        <v>52</v>
      </c>
      <c r="P136" s="2">
        <v>-0.56</v>
      </c>
      <c r="Q136" s="2">
        <v>-9.9</v>
      </c>
    </row>
    <row r="137" spans="1:17" x14ac:dyDescent="0.25">
      <c r="A137" t="s">
        <v>18</v>
      </c>
      <c r="B137" t="s">
        <v>19</v>
      </c>
      <c r="C137" t="s">
        <v>190</v>
      </c>
      <c r="D137" t="s">
        <v>216</v>
      </c>
      <c r="E137">
        <v>-1</v>
      </c>
      <c r="F137">
        <v>-1</v>
      </c>
      <c r="G137" s="5">
        <v>69.342</v>
      </c>
      <c r="H137" s="5">
        <v>0.885</v>
      </c>
      <c r="J137" s="5">
        <v>9.342</v>
      </c>
      <c r="K137" s="5">
        <v>-9.34</v>
      </c>
      <c r="L137" s="5">
        <v>3.5</v>
      </c>
      <c r="M137" s="5">
        <v>-3.5</v>
      </c>
      <c r="N137" t="s">
        <v>97</v>
      </c>
      <c r="O137" t="s">
        <v>52</v>
      </c>
      <c r="P137" s="2">
        <v>-0.56</v>
      </c>
      <c r="Q137" s="2">
        <v>-9.9</v>
      </c>
    </row>
    <row r="138" spans="1:17" x14ac:dyDescent="0.25">
      <c r="A138" t="s">
        <v>18</v>
      </c>
      <c r="B138" t="s">
        <v>19</v>
      </c>
      <c r="C138" t="s">
        <v>192</v>
      </c>
      <c r="D138" t="s">
        <v>217</v>
      </c>
      <c r="E138">
        <v>-1</v>
      </c>
      <c r="F138">
        <v>-1</v>
      </c>
      <c r="G138" s="5">
        <v>618.126</v>
      </c>
      <c r="H138" s="5">
        <v>0.72</v>
      </c>
      <c r="J138" s="5">
        <v>18.126</v>
      </c>
      <c r="K138" s="5">
        <v>-18.13</v>
      </c>
      <c r="L138" s="5">
        <v>3.5</v>
      </c>
      <c r="M138" s="5">
        <v>-3.5</v>
      </c>
      <c r="N138" t="s">
        <v>97</v>
      </c>
      <c r="O138" t="s">
        <v>52</v>
      </c>
      <c r="P138" s="2">
        <v>-1.09</v>
      </c>
      <c r="Q138" s="2">
        <v>-19.22</v>
      </c>
    </row>
    <row r="139" spans="1:17" x14ac:dyDescent="0.25">
      <c r="A139" t="s">
        <v>18</v>
      </c>
      <c r="B139" t="s">
        <v>19</v>
      </c>
      <c r="C139" t="s">
        <v>79</v>
      </c>
      <c r="D139" t="s">
        <v>80</v>
      </c>
      <c r="E139">
        <v>1</v>
      </c>
      <c r="F139">
        <v>24</v>
      </c>
      <c r="G139" s="5">
        <v>41.04</v>
      </c>
      <c r="H139" s="5">
        <v>2.467</v>
      </c>
      <c r="J139" s="5">
        <v>41.04</v>
      </c>
      <c r="K139" s="5">
        <v>41.04</v>
      </c>
      <c r="L139" s="5">
        <v>4.5</v>
      </c>
      <c r="M139" s="5">
        <v>4.5</v>
      </c>
      <c r="N139" t="s">
        <v>51</v>
      </c>
      <c r="O139" t="s">
        <v>52</v>
      </c>
      <c r="P139" s="2">
        <v>8.62</v>
      </c>
      <c r="Q139" s="2">
        <v>49.66</v>
      </c>
    </row>
    <row r="140" spans="1:17" x14ac:dyDescent="0.25">
      <c r="A140" t="s">
        <v>18</v>
      </c>
      <c r="B140" t="s">
        <v>19</v>
      </c>
      <c r="C140" t="s">
        <v>57</v>
      </c>
      <c r="D140" t="s">
        <v>58</v>
      </c>
      <c r="E140">
        <v>23</v>
      </c>
      <c r="F140">
        <v>23</v>
      </c>
      <c r="G140" s="5">
        <v>1.149</v>
      </c>
      <c r="H140" s="5">
        <v>0.088</v>
      </c>
      <c r="J140" s="5">
        <v>1.149</v>
      </c>
      <c r="K140" s="5">
        <v>26.43</v>
      </c>
      <c r="L140" s="5">
        <v>0.1913</v>
      </c>
      <c r="M140" s="5">
        <v>4.4</v>
      </c>
      <c r="N140" t="s">
        <v>51</v>
      </c>
      <c r="O140" t="s">
        <v>52</v>
      </c>
      <c r="P140" s="2">
        <v>5.55</v>
      </c>
      <c r="Q140" s="2">
        <v>31.98</v>
      </c>
    </row>
    <row r="141" spans="1:17" x14ac:dyDescent="0.25">
      <c r="A141" t="s">
        <v>18</v>
      </c>
      <c r="B141" t="s">
        <v>19</v>
      </c>
      <c r="C141" t="s">
        <v>53</v>
      </c>
      <c r="D141" t="s">
        <v>54</v>
      </c>
      <c r="E141">
        <v>4</v>
      </c>
      <c r="F141">
        <v>4</v>
      </c>
      <c r="G141" s="5">
        <v>70.415</v>
      </c>
      <c r="H141" s="5">
        <v>4.105</v>
      </c>
      <c r="I141" s="6">
        <v>5</v>
      </c>
      <c r="J141" s="5">
        <v>67.099</v>
      </c>
      <c r="K141" s="5">
        <v>268.4</v>
      </c>
      <c r="L141" s="5">
        <v>30</v>
      </c>
      <c r="M141" s="5">
        <v>120</v>
      </c>
      <c r="N141" t="s">
        <v>51</v>
      </c>
      <c r="O141" t="s">
        <v>52</v>
      </c>
      <c r="P141" s="2">
        <v>56.36</v>
      </c>
      <c r="Q141" s="2">
        <v>324.76</v>
      </c>
    </row>
    <row r="142" spans="1:17" x14ac:dyDescent="0.25">
      <c r="A142" t="s">
        <v>18</v>
      </c>
      <c r="B142" t="s">
        <v>19</v>
      </c>
      <c r="C142" t="s">
        <v>55</v>
      </c>
      <c r="D142" t="s">
        <v>56</v>
      </c>
      <c r="E142">
        <v>2</v>
      </c>
      <c r="F142">
        <v>2</v>
      </c>
      <c r="G142" s="5">
        <v>88.766</v>
      </c>
      <c r="H142" s="5">
        <v>6.69</v>
      </c>
      <c r="I142" s="6">
        <v>5</v>
      </c>
      <c r="J142" s="5">
        <v>84.662</v>
      </c>
      <c r="K142" s="5">
        <v>169.32</v>
      </c>
      <c r="L142" s="5">
        <v>60</v>
      </c>
      <c r="M142" s="5">
        <v>120</v>
      </c>
      <c r="N142" t="s">
        <v>51</v>
      </c>
      <c r="O142" t="s">
        <v>52</v>
      </c>
      <c r="P142" s="2">
        <v>35.56</v>
      </c>
      <c r="Q142" s="2">
        <v>204.88</v>
      </c>
    </row>
    <row r="143" spans="1:17" x14ac:dyDescent="0.25">
      <c r="A143" t="s">
        <v>18</v>
      </c>
      <c r="B143" t="s">
        <v>19</v>
      </c>
      <c r="C143" t="s">
        <v>73</v>
      </c>
      <c r="D143" t="s">
        <v>74</v>
      </c>
      <c r="E143">
        <v>1</v>
      </c>
      <c r="F143">
        <v>24</v>
      </c>
      <c r="G143" s="5">
        <v>37.608</v>
      </c>
      <c r="H143" s="5">
        <v>3.081</v>
      </c>
      <c r="J143" s="5">
        <v>37.608</v>
      </c>
      <c r="K143" s="5">
        <v>37.61</v>
      </c>
      <c r="L143" s="5">
        <v>4.5</v>
      </c>
      <c r="M143" s="5">
        <v>4.5</v>
      </c>
      <c r="N143" t="s">
        <v>51</v>
      </c>
      <c r="O143" t="s">
        <v>52</v>
      </c>
      <c r="P143" s="2">
        <v>7.9</v>
      </c>
      <c r="Q143" s="2">
        <v>45.51</v>
      </c>
    </row>
    <row r="144" spans="1:17" x14ac:dyDescent="0.25">
      <c r="A144" t="s">
        <v>18</v>
      </c>
      <c r="B144" t="s">
        <v>19</v>
      </c>
      <c r="C144" t="s">
        <v>81</v>
      </c>
      <c r="D144" t="s">
        <v>82</v>
      </c>
      <c r="E144">
        <v>1</v>
      </c>
      <c r="F144">
        <v>24</v>
      </c>
      <c r="G144" s="5">
        <v>34.8</v>
      </c>
      <c r="H144" s="5">
        <v>2.763</v>
      </c>
      <c r="J144" s="5">
        <v>34.8</v>
      </c>
      <c r="K144" s="5">
        <v>34.8</v>
      </c>
      <c r="L144" s="5">
        <v>4.5</v>
      </c>
      <c r="M144" s="5">
        <v>4.5</v>
      </c>
      <c r="N144" t="s">
        <v>51</v>
      </c>
      <c r="O144" t="s">
        <v>52</v>
      </c>
      <c r="P144" s="2">
        <v>7.31</v>
      </c>
      <c r="Q144" s="2">
        <v>42.11</v>
      </c>
    </row>
    <row r="145" spans="1:17" x14ac:dyDescent="0.25">
      <c r="A145" t="s">
        <v>18</v>
      </c>
      <c r="B145" t="s">
        <v>19</v>
      </c>
      <c r="C145" t="s">
        <v>71</v>
      </c>
      <c r="D145" t="s">
        <v>72</v>
      </c>
      <c r="E145">
        <v>1</v>
      </c>
      <c r="F145">
        <v>24</v>
      </c>
      <c r="G145" s="5">
        <v>35.472</v>
      </c>
      <c r="H145" s="5">
        <v>2.764</v>
      </c>
      <c r="J145" s="5">
        <v>35.472</v>
      </c>
      <c r="K145" s="5">
        <v>35.47</v>
      </c>
      <c r="L145" s="5">
        <v>4.5</v>
      </c>
      <c r="M145" s="5">
        <v>4.5</v>
      </c>
      <c r="N145" t="s">
        <v>51</v>
      </c>
      <c r="O145" t="s">
        <v>52</v>
      </c>
      <c r="P145" s="2">
        <v>7.45</v>
      </c>
      <c r="Q145" s="2">
        <v>42.92</v>
      </c>
    </row>
    <row r="146" spans="1:17" x14ac:dyDescent="0.25">
      <c r="A146" t="s">
        <v>18</v>
      </c>
      <c r="B146" t="s">
        <v>19</v>
      </c>
      <c r="C146" t="s">
        <v>69</v>
      </c>
      <c r="D146" t="s">
        <v>70</v>
      </c>
      <c r="E146">
        <v>1</v>
      </c>
      <c r="F146">
        <v>24</v>
      </c>
      <c r="G146" s="5">
        <v>43.344</v>
      </c>
      <c r="H146" s="5">
        <v>2.763</v>
      </c>
      <c r="J146" s="5">
        <v>43.344</v>
      </c>
      <c r="K146" s="5">
        <v>43.34</v>
      </c>
      <c r="L146" s="5">
        <v>4.5</v>
      </c>
      <c r="M146" s="5">
        <v>4.5</v>
      </c>
      <c r="N146" t="s">
        <v>51</v>
      </c>
      <c r="O146" t="s">
        <v>52</v>
      </c>
      <c r="P146" s="2">
        <v>9.1</v>
      </c>
      <c r="Q146" s="2">
        <v>52.44</v>
      </c>
    </row>
    <row r="147" spans="1:17" x14ac:dyDescent="0.25">
      <c r="A147" t="s">
        <v>18</v>
      </c>
      <c r="B147" t="s">
        <v>19</v>
      </c>
      <c r="C147" t="s">
        <v>63</v>
      </c>
      <c r="D147" t="s">
        <v>64</v>
      </c>
      <c r="E147">
        <v>3</v>
      </c>
      <c r="F147">
        <v>72</v>
      </c>
      <c r="G147" s="5">
        <v>22.104</v>
      </c>
      <c r="H147" s="5">
        <v>1.613</v>
      </c>
      <c r="J147" s="5">
        <v>22.104</v>
      </c>
      <c r="K147" s="5">
        <v>66.31</v>
      </c>
      <c r="L147" s="5">
        <v>4.5</v>
      </c>
      <c r="M147" s="5">
        <v>13.5</v>
      </c>
      <c r="N147" t="s">
        <v>51</v>
      </c>
      <c r="O147" t="s">
        <v>52</v>
      </c>
      <c r="P147" s="2">
        <v>13.93</v>
      </c>
      <c r="Q147" s="2">
        <v>80.24</v>
      </c>
    </row>
    <row r="148" spans="1:17" x14ac:dyDescent="0.25">
      <c r="A148" t="s">
        <v>18</v>
      </c>
      <c r="B148" t="s">
        <v>19</v>
      </c>
      <c r="C148" t="s">
        <v>100</v>
      </c>
      <c r="D148" t="s">
        <v>101</v>
      </c>
      <c r="E148">
        <v>1</v>
      </c>
      <c r="F148">
        <v>28</v>
      </c>
      <c r="G148" s="5">
        <v>9.268</v>
      </c>
      <c r="H148" s="5">
        <v>0.178</v>
      </c>
      <c r="J148" s="5">
        <v>9.268</v>
      </c>
      <c r="K148" s="5">
        <v>9.27</v>
      </c>
      <c r="L148" s="5">
        <v>5</v>
      </c>
      <c r="M148" s="5">
        <v>5</v>
      </c>
      <c r="N148" t="s">
        <v>97</v>
      </c>
      <c r="O148" t="s">
        <v>52</v>
      </c>
      <c r="P148" s="2">
        <v>0.56</v>
      </c>
      <c r="Q148" s="2">
        <v>9.83</v>
      </c>
    </row>
    <row r="149" spans="1:17" x14ac:dyDescent="0.25">
      <c r="A149" t="s">
        <v>18</v>
      </c>
      <c r="B149" t="s">
        <v>19</v>
      </c>
      <c r="C149" t="s">
        <v>188</v>
      </c>
      <c r="D149" t="s">
        <v>189</v>
      </c>
      <c r="E149">
        <v>1</v>
      </c>
      <c r="F149">
        <v>6</v>
      </c>
      <c r="G149" s="5">
        <v>6.708</v>
      </c>
      <c r="H149" s="5">
        <v>0.885</v>
      </c>
      <c r="J149" s="5">
        <v>6.708</v>
      </c>
      <c r="K149" s="5">
        <v>6.71</v>
      </c>
      <c r="L149" s="5">
        <v>3.5</v>
      </c>
      <c r="M149" s="5">
        <v>3.5</v>
      </c>
      <c r="N149" t="s">
        <v>97</v>
      </c>
      <c r="O149" t="s">
        <v>52</v>
      </c>
      <c r="P149" s="2">
        <v>0.4</v>
      </c>
      <c r="Q149" s="2">
        <v>7.11</v>
      </c>
    </row>
    <row r="150" spans="1:17" x14ac:dyDescent="0.25">
      <c r="A150" t="s">
        <v>18</v>
      </c>
      <c r="B150" t="s">
        <v>19</v>
      </c>
      <c r="C150" t="s">
        <v>190</v>
      </c>
      <c r="D150" t="s">
        <v>191</v>
      </c>
      <c r="E150">
        <v>1</v>
      </c>
      <c r="F150">
        <v>6</v>
      </c>
      <c r="G150" s="5">
        <v>6.708</v>
      </c>
      <c r="H150" s="5">
        <v>0.885</v>
      </c>
      <c r="J150" s="5">
        <v>6.708</v>
      </c>
      <c r="K150" s="5">
        <v>6.71</v>
      </c>
      <c r="L150" s="5">
        <v>3.5</v>
      </c>
      <c r="M150" s="5">
        <v>3.5</v>
      </c>
      <c r="N150" t="s">
        <v>97</v>
      </c>
      <c r="O150" t="s">
        <v>52</v>
      </c>
      <c r="P150" s="2">
        <v>0.4</v>
      </c>
      <c r="Q150" s="2">
        <v>7.11</v>
      </c>
    </row>
    <row r="151" spans="1:17" x14ac:dyDescent="0.25">
      <c r="A151" t="s">
        <v>18</v>
      </c>
      <c r="B151" t="s">
        <v>19</v>
      </c>
      <c r="C151" t="s">
        <v>192</v>
      </c>
      <c r="D151" t="s">
        <v>193</v>
      </c>
      <c r="E151">
        <v>1</v>
      </c>
      <c r="F151">
        <v>6</v>
      </c>
      <c r="G151" s="5">
        <v>15.75</v>
      </c>
      <c r="H151" s="5">
        <v>0.72</v>
      </c>
      <c r="J151" s="5">
        <v>15.75</v>
      </c>
      <c r="K151" s="5">
        <v>15.75</v>
      </c>
      <c r="L151" s="5">
        <v>3.5</v>
      </c>
      <c r="M151" s="5">
        <v>3.5</v>
      </c>
      <c r="N151" t="s">
        <v>97</v>
      </c>
      <c r="O151" t="s">
        <v>52</v>
      </c>
      <c r="P151" s="2">
        <v>0.95</v>
      </c>
      <c r="Q151" s="2">
        <v>16.7</v>
      </c>
    </row>
    <row r="152" spans="1:17" x14ac:dyDescent="0.25">
      <c r="A152" t="s">
        <v>18</v>
      </c>
      <c r="B152" t="s">
        <v>19</v>
      </c>
      <c r="C152" t="s">
        <v>79</v>
      </c>
      <c r="D152" t="s">
        <v>194</v>
      </c>
      <c r="E152">
        <v>-1</v>
      </c>
      <c r="F152">
        <v>-1</v>
      </c>
      <c r="G152" s="5">
        <v>2438.472</v>
      </c>
      <c r="H152" s="5">
        <v>2.467</v>
      </c>
      <c r="J152" s="5">
        <v>38.472</v>
      </c>
      <c r="K152" s="5">
        <v>-38.47</v>
      </c>
      <c r="L152" s="5">
        <v>4.5</v>
      </c>
      <c r="M152" s="5">
        <v>-4.5</v>
      </c>
      <c r="N152" t="s">
        <v>51</v>
      </c>
      <c r="O152" t="s">
        <v>52</v>
      </c>
      <c r="P152" s="2">
        <v>-8.08</v>
      </c>
      <c r="Q152" s="2">
        <v>-46.55</v>
      </c>
    </row>
    <row r="153" spans="1:17" x14ac:dyDescent="0.25">
      <c r="A153" t="s">
        <v>18</v>
      </c>
      <c r="B153" t="s">
        <v>19</v>
      </c>
      <c r="C153" t="s">
        <v>57</v>
      </c>
      <c r="D153" t="s">
        <v>58</v>
      </c>
      <c r="E153">
        <v>-23</v>
      </c>
      <c r="F153">
        <v>-23</v>
      </c>
      <c r="G153" s="5">
        <v>1.078</v>
      </c>
      <c r="H153" s="5">
        <v>0.088</v>
      </c>
      <c r="J153" s="5">
        <v>1.078</v>
      </c>
      <c r="K153" s="5">
        <v>-24.79</v>
      </c>
      <c r="L153" s="5">
        <v>0.191</v>
      </c>
      <c r="M153" s="5">
        <v>-4.4</v>
      </c>
      <c r="N153" t="s">
        <v>51</v>
      </c>
      <c r="O153" t="s">
        <v>52</v>
      </c>
      <c r="P153" s="2">
        <v>-5.21</v>
      </c>
      <c r="Q153" s="2">
        <v>-30</v>
      </c>
    </row>
    <row r="154" spans="1:17" x14ac:dyDescent="0.25">
      <c r="A154" t="s">
        <v>20</v>
      </c>
      <c r="B154" t="s">
        <v>21</v>
      </c>
      <c r="C154" t="s">
        <v>55</v>
      </c>
      <c r="D154" t="s">
        <v>56</v>
      </c>
      <c r="E154">
        <v>1</v>
      </c>
      <c r="F154">
        <v>1</v>
      </c>
      <c r="G154" s="5">
        <v>88.766</v>
      </c>
      <c r="H154" s="5">
        <v>6.69</v>
      </c>
      <c r="I154" s="6">
        <v>5</v>
      </c>
      <c r="J154" s="5">
        <v>84.662</v>
      </c>
      <c r="K154" s="5">
        <v>84.66</v>
      </c>
      <c r="L154" s="5">
        <v>60</v>
      </c>
      <c r="M154" s="5">
        <v>60</v>
      </c>
      <c r="N154" t="s">
        <v>51</v>
      </c>
      <c r="O154" t="s">
        <v>52</v>
      </c>
      <c r="P154" s="2">
        <v>17.78</v>
      </c>
      <c r="Q154" s="2">
        <v>102.44</v>
      </c>
    </row>
    <row r="155" spans="1:17" x14ac:dyDescent="0.25">
      <c r="A155" t="s">
        <v>20</v>
      </c>
      <c r="B155" t="s">
        <v>21</v>
      </c>
      <c r="C155" t="s">
        <v>53</v>
      </c>
      <c r="D155" t="s">
        <v>54</v>
      </c>
      <c r="E155">
        <v>3</v>
      </c>
      <c r="F155">
        <v>3</v>
      </c>
      <c r="G155" s="5">
        <v>70.415</v>
      </c>
      <c r="H155" s="5">
        <v>4.105</v>
      </c>
      <c r="I155" s="6">
        <v>5</v>
      </c>
      <c r="J155" s="5">
        <v>67.099</v>
      </c>
      <c r="K155" s="5">
        <v>201.3</v>
      </c>
      <c r="L155" s="5">
        <v>30</v>
      </c>
      <c r="M155" s="5">
        <v>90</v>
      </c>
      <c r="N155" t="s">
        <v>51</v>
      </c>
      <c r="O155" t="s">
        <v>52</v>
      </c>
      <c r="P155" s="2">
        <v>42.27</v>
      </c>
      <c r="Q155" s="2">
        <v>243.57</v>
      </c>
    </row>
    <row r="156" spans="1:17" x14ac:dyDescent="0.25">
      <c r="A156" t="s">
        <v>20</v>
      </c>
      <c r="B156" t="s">
        <v>21</v>
      </c>
      <c r="C156" t="s">
        <v>67</v>
      </c>
      <c r="D156" t="s">
        <v>68</v>
      </c>
      <c r="E156">
        <v>2</v>
      </c>
      <c r="F156">
        <v>48</v>
      </c>
      <c r="G156" s="5">
        <v>43.632</v>
      </c>
      <c r="H156" s="5">
        <v>3.039</v>
      </c>
      <c r="J156" s="5">
        <v>43.632</v>
      </c>
      <c r="K156" s="5">
        <v>87.26</v>
      </c>
      <c r="L156" s="5">
        <v>4.5</v>
      </c>
      <c r="M156" s="5">
        <v>9</v>
      </c>
      <c r="N156" t="s">
        <v>51</v>
      </c>
      <c r="O156" t="s">
        <v>52</v>
      </c>
      <c r="P156" s="2">
        <v>18.32</v>
      </c>
      <c r="Q156" s="2">
        <v>105.58</v>
      </c>
    </row>
    <row r="157" spans="1:17" x14ac:dyDescent="0.25">
      <c r="A157" t="s">
        <v>20</v>
      </c>
      <c r="B157" t="s">
        <v>21</v>
      </c>
      <c r="C157" t="s">
        <v>81</v>
      </c>
      <c r="D157" t="s">
        <v>82</v>
      </c>
      <c r="E157">
        <v>1</v>
      </c>
      <c r="F157">
        <v>24</v>
      </c>
      <c r="G157" s="5">
        <v>34.8</v>
      </c>
      <c r="H157" s="5">
        <v>2.763</v>
      </c>
      <c r="J157" s="5">
        <v>34.8</v>
      </c>
      <c r="K157" s="5">
        <v>34.8</v>
      </c>
      <c r="L157" s="5">
        <v>4.5</v>
      </c>
      <c r="M157" s="5">
        <v>4.5</v>
      </c>
      <c r="N157" t="s">
        <v>51</v>
      </c>
      <c r="O157" t="s">
        <v>52</v>
      </c>
      <c r="P157" s="2">
        <v>7.31</v>
      </c>
      <c r="Q157" s="2">
        <v>42.11</v>
      </c>
    </row>
    <row r="158" spans="1:17" x14ac:dyDescent="0.25">
      <c r="A158" t="s">
        <v>20</v>
      </c>
      <c r="B158" t="s">
        <v>21</v>
      </c>
      <c r="C158" t="s">
        <v>218</v>
      </c>
      <c r="D158" t="s">
        <v>219</v>
      </c>
      <c r="E158">
        <v>1</v>
      </c>
      <c r="F158">
        <v>24</v>
      </c>
      <c r="G158" s="5">
        <v>41.424</v>
      </c>
      <c r="H158" s="5">
        <v>2.412</v>
      </c>
      <c r="J158" s="5">
        <v>41.424</v>
      </c>
      <c r="K158" s="5">
        <v>41.42</v>
      </c>
      <c r="L158" s="5">
        <v>4.5</v>
      </c>
      <c r="M158" s="5">
        <v>4.5</v>
      </c>
      <c r="N158" t="s">
        <v>51</v>
      </c>
      <c r="O158" t="s">
        <v>52</v>
      </c>
      <c r="P158" s="2">
        <v>8.7</v>
      </c>
      <c r="Q158" s="2">
        <v>50.12</v>
      </c>
    </row>
    <row r="159" spans="1:17" x14ac:dyDescent="0.25">
      <c r="A159" t="s">
        <v>20</v>
      </c>
      <c r="B159" t="s">
        <v>21</v>
      </c>
      <c r="C159" t="s">
        <v>77</v>
      </c>
      <c r="D159" t="s">
        <v>78</v>
      </c>
      <c r="E159">
        <v>12</v>
      </c>
      <c r="F159">
        <v>12</v>
      </c>
      <c r="G159" s="5">
        <v>1.363</v>
      </c>
      <c r="H159" s="5">
        <v>0.103</v>
      </c>
      <c r="J159" s="5">
        <v>1.363</v>
      </c>
      <c r="K159" s="5">
        <v>16.36</v>
      </c>
      <c r="L159" s="5">
        <v>0.275</v>
      </c>
      <c r="M159" s="5">
        <v>3.3</v>
      </c>
      <c r="N159" t="s">
        <v>51</v>
      </c>
      <c r="O159" t="s">
        <v>52</v>
      </c>
      <c r="P159" s="2">
        <v>3.44</v>
      </c>
      <c r="Q159" s="2">
        <v>19.8</v>
      </c>
    </row>
    <row r="160" spans="1:17" x14ac:dyDescent="0.25">
      <c r="A160" t="s">
        <v>20</v>
      </c>
      <c r="B160" t="s">
        <v>21</v>
      </c>
      <c r="C160" t="s">
        <v>122</v>
      </c>
      <c r="D160" t="s">
        <v>123</v>
      </c>
      <c r="E160">
        <v>2</v>
      </c>
      <c r="F160">
        <v>48</v>
      </c>
      <c r="G160" s="5">
        <v>16.296</v>
      </c>
      <c r="H160" s="5">
        <v>0.638</v>
      </c>
      <c r="J160" s="5">
        <v>16.296</v>
      </c>
      <c r="K160" s="5">
        <v>32.59</v>
      </c>
      <c r="L160" s="5">
        <v>5</v>
      </c>
      <c r="M160" s="5">
        <v>10</v>
      </c>
      <c r="N160" t="s">
        <v>97</v>
      </c>
      <c r="O160" t="s">
        <v>52</v>
      </c>
      <c r="P160" s="2">
        <v>1.96</v>
      </c>
      <c r="Q160" s="2">
        <v>34.55</v>
      </c>
    </row>
    <row r="161" spans="1:17" x14ac:dyDescent="0.25">
      <c r="A161" t="s">
        <v>20</v>
      </c>
      <c r="B161" t="s">
        <v>21</v>
      </c>
      <c r="C161" t="s">
        <v>116</v>
      </c>
      <c r="D161" t="s">
        <v>117</v>
      </c>
      <c r="E161">
        <v>2</v>
      </c>
      <c r="F161">
        <v>48</v>
      </c>
      <c r="G161" s="5">
        <v>18.648</v>
      </c>
      <c r="H161" s="5">
        <v>0.135</v>
      </c>
      <c r="J161" s="5">
        <v>18.648</v>
      </c>
      <c r="K161" s="5">
        <v>37.3</v>
      </c>
      <c r="L161" s="5">
        <v>4.5</v>
      </c>
      <c r="M161" s="5">
        <v>9</v>
      </c>
      <c r="N161" t="s">
        <v>97</v>
      </c>
      <c r="O161" t="s">
        <v>52</v>
      </c>
      <c r="P161" s="2">
        <v>2.24</v>
      </c>
      <c r="Q161" s="2">
        <v>39.54</v>
      </c>
    </row>
    <row r="162" spans="1:17" x14ac:dyDescent="0.25">
      <c r="A162" t="s">
        <v>20</v>
      </c>
      <c r="B162" t="s">
        <v>21</v>
      </c>
      <c r="C162" t="s">
        <v>220</v>
      </c>
      <c r="D162" t="s">
        <v>221</v>
      </c>
      <c r="E162">
        <v>2</v>
      </c>
      <c r="F162">
        <v>12</v>
      </c>
      <c r="G162" s="5">
        <v>15.93</v>
      </c>
      <c r="H162" s="5">
        <v>0.72</v>
      </c>
      <c r="J162" s="5">
        <v>15.93</v>
      </c>
      <c r="K162" s="5">
        <v>31.86</v>
      </c>
      <c r="L162" s="5">
        <v>3.5</v>
      </c>
      <c r="M162" s="5">
        <v>7</v>
      </c>
      <c r="N162" t="s">
        <v>97</v>
      </c>
      <c r="O162" t="s">
        <v>52</v>
      </c>
      <c r="P162" s="2">
        <v>1.91</v>
      </c>
      <c r="Q162" s="2">
        <v>33.77</v>
      </c>
    </row>
    <row r="163" spans="1:17" x14ac:dyDescent="0.25">
      <c r="A163" t="s">
        <v>20</v>
      </c>
      <c r="B163" t="s">
        <v>21</v>
      </c>
      <c r="C163" t="s">
        <v>195</v>
      </c>
      <c r="D163" t="s">
        <v>196</v>
      </c>
      <c r="G163" s="5"/>
      <c r="H163" s="5"/>
      <c r="J163" s="5"/>
      <c r="K163" s="5"/>
      <c r="L163" s="5">
        <v>30</v>
      </c>
      <c r="M163" s="5">
        <v>-90</v>
      </c>
      <c r="N163" t="s">
        <v>33</v>
      </c>
      <c r="O163" t="s">
        <v>197</v>
      </c>
      <c r="P163" s="2"/>
      <c r="Q163" s="2"/>
    </row>
    <row r="164" spans="1:17" x14ac:dyDescent="0.25">
      <c r="A164" t="s">
        <v>20</v>
      </c>
      <c r="B164" t="s">
        <v>21</v>
      </c>
      <c r="C164" t="s">
        <v>183</v>
      </c>
      <c r="D164" t="s">
        <v>184</v>
      </c>
      <c r="G164" s="5"/>
      <c r="H164" s="5"/>
      <c r="J164" s="5"/>
      <c r="K164" s="5"/>
      <c r="L164" s="5">
        <v>60</v>
      </c>
      <c r="M164" s="5">
        <v>-120</v>
      </c>
      <c r="N164" t="s">
        <v>33</v>
      </c>
      <c r="O164" t="s">
        <v>185</v>
      </c>
      <c r="P164" s="2"/>
      <c r="Q164" s="2"/>
    </row>
    <row r="165" spans="1:17" x14ac:dyDescent="0.25">
      <c r="A165" t="s">
        <v>20</v>
      </c>
      <c r="B165" t="s">
        <v>21</v>
      </c>
      <c r="C165" t="s">
        <v>222</v>
      </c>
      <c r="D165" t="s">
        <v>223</v>
      </c>
      <c r="G165" s="5"/>
      <c r="H165" s="5"/>
      <c r="J165" s="5"/>
      <c r="K165" s="5"/>
      <c r="L165" s="5">
        <v>7.5</v>
      </c>
      <c r="M165" s="5">
        <v>-15</v>
      </c>
      <c r="N165" t="s">
        <v>33</v>
      </c>
      <c r="O165" t="s">
        <v>197</v>
      </c>
      <c r="P165" s="2"/>
      <c r="Q165" s="2"/>
    </row>
    <row r="166" spans="1:17" x14ac:dyDescent="0.25">
      <c r="A166" t="s">
        <v>20</v>
      </c>
      <c r="B166" t="s">
        <v>21</v>
      </c>
      <c r="C166" t="s">
        <v>202</v>
      </c>
      <c r="D166" t="s">
        <v>203</v>
      </c>
      <c r="G166" s="5"/>
      <c r="H166" s="5"/>
      <c r="J166" s="5"/>
      <c r="K166" s="5"/>
      <c r="L166" s="5">
        <v>4.5</v>
      </c>
      <c r="M166" s="5">
        <v>-22.5</v>
      </c>
      <c r="N166" t="s">
        <v>33</v>
      </c>
      <c r="O166" t="s">
        <v>197</v>
      </c>
      <c r="P166" s="2"/>
      <c r="Q166" s="2"/>
    </row>
    <row r="167" spans="1:17" x14ac:dyDescent="0.25">
      <c r="A167" t="s">
        <v>20</v>
      </c>
      <c r="B167" t="s">
        <v>21</v>
      </c>
      <c r="C167" t="s">
        <v>59</v>
      </c>
      <c r="D167" t="s">
        <v>224</v>
      </c>
      <c r="E167">
        <v>-1</v>
      </c>
      <c r="F167">
        <v>-1</v>
      </c>
      <c r="G167" s="5">
        <v>2424.36</v>
      </c>
      <c r="H167" s="5">
        <v>2.101</v>
      </c>
      <c r="J167" s="5">
        <v>24.36</v>
      </c>
      <c r="K167" s="5">
        <v>-24.36</v>
      </c>
      <c r="L167" s="5">
        <v>4.5</v>
      </c>
      <c r="M167" s="5">
        <v>-4.5</v>
      </c>
      <c r="N167" t="s">
        <v>51</v>
      </c>
      <c r="O167" t="s">
        <v>52</v>
      </c>
      <c r="P167" s="2">
        <v>-5.12</v>
      </c>
      <c r="Q167" s="2">
        <v>-29.48</v>
      </c>
    </row>
    <row r="168" spans="1:17" x14ac:dyDescent="0.25">
      <c r="A168" t="s">
        <v>22</v>
      </c>
      <c r="B168" t="s">
        <v>23</v>
      </c>
      <c r="C168" t="s">
        <v>136</v>
      </c>
      <c r="D168" t="s">
        <v>137</v>
      </c>
      <c r="E168">
        <v>1</v>
      </c>
      <c r="F168">
        <v>2</v>
      </c>
      <c r="G168" s="5">
        <v>13.62</v>
      </c>
      <c r="H168" s="5"/>
      <c r="J168" s="5">
        <v>13.62</v>
      </c>
      <c r="K168" s="5">
        <v>13.62</v>
      </c>
      <c r="L168" s="5"/>
      <c r="M168" s="5"/>
      <c r="N168" t="s">
        <v>97</v>
      </c>
      <c r="O168" t="s">
        <v>52</v>
      </c>
      <c r="P168" s="2">
        <v>0.82</v>
      </c>
      <c r="Q168" s="2">
        <v>14.44</v>
      </c>
    </row>
    <row r="169" spans="1:17" x14ac:dyDescent="0.25">
      <c r="A169" t="s">
        <v>22</v>
      </c>
      <c r="B169" t="s">
        <v>23</v>
      </c>
      <c r="C169" t="s">
        <v>81</v>
      </c>
      <c r="D169" t="s">
        <v>82</v>
      </c>
      <c r="E169">
        <v>2</v>
      </c>
      <c r="F169">
        <v>48</v>
      </c>
      <c r="G169" s="5">
        <v>34.8</v>
      </c>
      <c r="H169" s="5">
        <v>2.763</v>
      </c>
      <c r="J169" s="5">
        <v>34.8</v>
      </c>
      <c r="K169" s="5">
        <v>69.6</v>
      </c>
      <c r="L169" s="5">
        <v>4.5</v>
      </c>
      <c r="M169" s="5">
        <v>9</v>
      </c>
      <c r="N169" t="s">
        <v>51</v>
      </c>
      <c r="O169" t="s">
        <v>52</v>
      </c>
      <c r="P169" s="2">
        <v>14.62</v>
      </c>
      <c r="Q169" s="2">
        <v>84.22</v>
      </c>
    </row>
    <row r="170" spans="1:17" x14ac:dyDescent="0.25">
      <c r="A170" t="s">
        <v>22</v>
      </c>
      <c r="B170" t="s">
        <v>23</v>
      </c>
      <c r="C170" t="s">
        <v>61</v>
      </c>
      <c r="D170" t="s">
        <v>62</v>
      </c>
      <c r="E170">
        <v>2</v>
      </c>
      <c r="F170">
        <v>24</v>
      </c>
      <c r="G170" s="5">
        <v>21.552</v>
      </c>
      <c r="H170" s="5">
        <v>1.207</v>
      </c>
      <c r="J170" s="5">
        <v>21.552</v>
      </c>
      <c r="K170" s="5">
        <v>43.1</v>
      </c>
      <c r="L170" s="5">
        <v>4.5</v>
      </c>
      <c r="M170" s="5">
        <v>9</v>
      </c>
      <c r="N170" t="s">
        <v>51</v>
      </c>
      <c r="O170" t="s">
        <v>52</v>
      </c>
      <c r="P170" s="2">
        <v>9.05</v>
      </c>
      <c r="Q170" s="2">
        <v>52.15</v>
      </c>
    </row>
    <row r="171" spans="1:17" x14ac:dyDescent="0.25">
      <c r="A171" t="s">
        <v>22</v>
      </c>
      <c r="B171" t="s">
        <v>23</v>
      </c>
      <c r="C171" t="s">
        <v>186</v>
      </c>
      <c r="D171" t="s">
        <v>187</v>
      </c>
      <c r="E171">
        <v>5</v>
      </c>
      <c r="F171">
        <v>5</v>
      </c>
      <c r="G171" s="5">
        <v>1.926</v>
      </c>
      <c r="H171" s="5">
        <v>0.106</v>
      </c>
      <c r="J171" s="5">
        <v>1.926</v>
      </c>
      <c r="K171" s="5">
        <v>9.63</v>
      </c>
      <c r="L171" s="5"/>
      <c r="M171" s="5"/>
      <c r="N171" t="s">
        <v>51</v>
      </c>
      <c r="O171" t="s">
        <v>52</v>
      </c>
      <c r="P171" s="2">
        <v>2.02</v>
      </c>
      <c r="Q171" s="2">
        <v>11.65</v>
      </c>
    </row>
    <row r="172" spans="1:17" x14ac:dyDescent="0.25">
      <c r="A172" t="s">
        <v>22</v>
      </c>
      <c r="B172" t="s">
        <v>23</v>
      </c>
      <c r="C172" t="s">
        <v>77</v>
      </c>
      <c r="D172" t="s">
        <v>78</v>
      </c>
      <c r="E172">
        <v>2</v>
      </c>
      <c r="F172">
        <v>48</v>
      </c>
      <c r="G172" s="5">
        <v>32.712</v>
      </c>
      <c r="H172" s="5">
        <v>2.467</v>
      </c>
      <c r="J172" s="5">
        <v>32.712</v>
      </c>
      <c r="K172" s="5">
        <v>65.42</v>
      </c>
      <c r="L172" s="5">
        <v>4.5</v>
      </c>
      <c r="M172" s="5">
        <v>9</v>
      </c>
      <c r="N172" t="s">
        <v>51</v>
      </c>
      <c r="O172" t="s">
        <v>52</v>
      </c>
      <c r="P172" s="2">
        <v>13.74</v>
      </c>
      <c r="Q172" s="2">
        <v>79.16</v>
      </c>
    </row>
    <row r="173" spans="1:17" x14ac:dyDescent="0.25">
      <c r="A173" t="s">
        <v>22</v>
      </c>
      <c r="B173" t="s">
        <v>23</v>
      </c>
      <c r="C173" t="s">
        <v>69</v>
      </c>
      <c r="D173" t="s">
        <v>70</v>
      </c>
      <c r="E173">
        <v>1</v>
      </c>
      <c r="F173">
        <v>24</v>
      </c>
      <c r="G173" s="5">
        <v>43.344</v>
      </c>
      <c r="H173" s="5">
        <v>2.763</v>
      </c>
      <c r="J173" s="5">
        <v>43.344</v>
      </c>
      <c r="K173" s="5">
        <v>43.34</v>
      </c>
      <c r="L173" s="5">
        <v>4.5</v>
      </c>
      <c r="M173" s="5">
        <v>4.5</v>
      </c>
      <c r="N173" t="s">
        <v>51</v>
      </c>
      <c r="O173" t="s">
        <v>52</v>
      </c>
      <c r="P173" s="2">
        <v>9.1</v>
      </c>
      <c r="Q173" s="2">
        <v>52.44</v>
      </c>
    </row>
    <row r="174" spans="1:17" x14ac:dyDescent="0.25">
      <c r="A174" t="s">
        <v>22</v>
      </c>
      <c r="B174" t="s">
        <v>23</v>
      </c>
      <c r="C174" t="s">
        <v>220</v>
      </c>
      <c r="D174" t="s">
        <v>221</v>
      </c>
      <c r="E174">
        <v>1</v>
      </c>
      <c r="F174">
        <v>6</v>
      </c>
      <c r="G174" s="5">
        <v>15.93</v>
      </c>
      <c r="H174" s="5">
        <v>0.72</v>
      </c>
      <c r="J174" s="5">
        <v>15.93</v>
      </c>
      <c r="K174" s="5">
        <v>15.93</v>
      </c>
      <c r="L174" s="5">
        <v>3.5</v>
      </c>
      <c r="M174" s="5">
        <v>3.5</v>
      </c>
      <c r="N174" t="s">
        <v>97</v>
      </c>
      <c r="O174" t="s">
        <v>52</v>
      </c>
      <c r="P174" s="2">
        <v>0.96</v>
      </c>
      <c r="Q174" s="2">
        <v>16.89</v>
      </c>
    </row>
    <row r="175" spans="1:17" x14ac:dyDescent="0.25">
      <c r="A175" t="s">
        <v>24</v>
      </c>
      <c r="B175" t="s">
        <v>25</v>
      </c>
      <c r="C175" t="s">
        <v>53</v>
      </c>
      <c r="D175" t="s">
        <v>54</v>
      </c>
      <c r="E175">
        <v>4</v>
      </c>
      <c r="F175">
        <v>4</v>
      </c>
      <c r="G175" s="5">
        <v>70.415</v>
      </c>
      <c r="H175" s="5">
        <v>4.105</v>
      </c>
      <c r="I175" s="6">
        <v>5</v>
      </c>
      <c r="J175" s="5">
        <v>67.099</v>
      </c>
      <c r="K175" s="5">
        <v>268.4</v>
      </c>
      <c r="L175" s="5">
        <v>30</v>
      </c>
      <c r="M175" s="5">
        <v>120</v>
      </c>
      <c r="N175" t="s">
        <v>51</v>
      </c>
      <c r="O175" t="s">
        <v>52</v>
      </c>
      <c r="P175" s="2">
        <v>56.36</v>
      </c>
      <c r="Q175" s="2">
        <v>324.76</v>
      </c>
    </row>
    <row r="176" spans="1:17" x14ac:dyDescent="0.25">
      <c r="A176" t="s">
        <v>24</v>
      </c>
      <c r="B176" t="s">
        <v>25</v>
      </c>
      <c r="C176" t="s">
        <v>55</v>
      </c>
      <c r="D176" t="s">
        <v>56</v>
      </c>
      <c r="E176">
        <v>2</v>
      </c>
      <c r="F176">
        <v>2</v>
      </c>
      <c r="G176" s="5">
        <v>88.766</v>
      </c>
      <c r="H176" s="5">
        <v>6.69</v>
      </c>
      <c r="I176" s="6">
        <v>5</v>
      </c>
      <c r="J176" s="5">
        <v>84.662</v>
      </c>
      <c r="K176" s="5">
        <v>169.32</v>
      </c>
      <c r="L176" s="5">
        <v>60</v>
      </c>
      <c r="M176" s="5">
        <v>120</v>
      </c>
      <c r="N176" t="s">
        <v>51</v>
      </c>
      <c r="O176" t="s">
        <v>52</v>
      </c>
      <c r="P176" s="2">
        <v>35.56</v>
      </c>
      <c r="Q176" s="2">
        <v>204.88</v>
      </c>
    </row>
    <row r="177" spans="1:17" x14ac:dyDescent="0.25">
      <c r="A177" t="s">
        <v>24</v>
      </c>
      <c r="B177" t="s">
        <v>25</v>
      </c>
      <c r="C177" t="s">
        <v>73</v>
      </c>
      <c r="D177" t="s">
        <v>74</v>
      </c>
      <c r="E177">
        <v>1</v>
      </c>
      <c r="F177">
        <v>24</v>
      </c>
      <c r="G177" s="5">
        <v>37.608</v>
      </c>
      <c r="H177" s="5">
        <v>3.081</v>
      </c>
      <c r="J177" s="5">
        <v>37.608</v>
      </c>
      <c r="K177" s="5">
        <v>37.61</v>
      </c>
      <c r="L177" s="5">
        <v>4.5</v>
      </c>
      <c r="M177" s="5">
        <v>4.5</v>
      </c>
      <c r="N177" t="s">
        <v>51</v>
      </c>
      <c r="O177" t="s">
        <v>52</v>
      </c>
      <c r="P177" s="2">
        <v>7.9</v>
      </c>
      <c r="Q177" s="2">
        <v>45.51</v>
      </c>
    </row>
    <row r="178" spans="1:17" x14ac:dyDescent="0.25">
      <c r="A178" t="s">
        <v>24</v>
      </c>
      <c r="B178" t="s">
        <v>25</v>
      </c>
      <c r="C178" t="s">
        <v>61</v>
      </c>
      <c r="D178" t="s">
        <v>62</v>
      </c>
      <c r="E178">
        <v>1</v>
      </c>
      <c r="F178">
        <v>12</v>
      </c>
      <c r="G178" s="5">
        <v>21.552</v>
      </c>
      <c r="H178" s="5">
        <v>1.207</v>
      </c>
      <c r="J178" s="5">
        <v>21.552</v>
      </c>
      <c r="K178" s="5">
        <v>21.55</v>
      </c>
      <c r="L178" s="5">
        <v>4.5</v>
      </c>
      <c r="M178" s="5">
        <v>4.5</v>
      </c>
      <c r="N178" t="s">
        <v>51</v>
      </c>
      <c r="O178" t="s">
        <v>52</v>
      </c>
      <c r="P178" s="2">
        <v>4.53</v>
      </c>
      <c r="Q178" s="2">
        <v>26.08</v>
      </c>
    </row>
    <row r="179" spans="1:17" x14ac:dyDescent="0.25">
      <c r="A179" t="s">
        <v>24</v>
      </c>
      <c r="B179" t="s">
        <v>25</v>
      </c>
      <c r="C179" t="s">
        <v>122</v>
      </c>
      <c r="D179" t="s">
        <v>123</v>
      </c>
      <c r="E179">
        <v>1</v>
      </c>
      <c r="F179">
        <v>24</v>
      </c>
      <c r="G179" s="5">
        <v>16.584</v>
      </c>
      <c r="H179" s="5">
        <v>0.638</v>
      </c>
      <c r="J179" s="5">
        <v>16.584</v>
      </c>
      <c r="K179" s="5">
        <v>16.58</v>
      </c>
      <c r="L179" s="5">
        <v>5</v>
      </c>
      <c r="M179" s="5">
        <v>5</v>
      </c>
      <c r="N179" t="s">
        <v>97</v>
      </c>
      <c r="O179" t="s">
        <v>52</v>
      </c>
      <c r="P179" s="2">
        <v>0.99</v>
      </c>
      <c r="Q179" s="2">
        <v>17.57</v>
      </c>
    </row>
    <row r="180" spans="1:17" x14ac:dyDescent="0.25">
      <c r="A180" t="s">
        <v>24</v>
      </c>
      <c r="B180" t="s">
        <v>25</v>
      </c>
      <c r="C180" t="s">
        <v>114</v>
      </c>
      <c r="D180" t="s">
        <v>115</v>
      </c>
      <c r="E180">
        <v>1</v>
      </c>
      <c r="F180">
        <v>24</v>
      </c>
      <c r="G180" s="5">
        <v>17.352</v>
      </c>
      <c r="H180" s="5">
        <v>0.868</v>
      </c>
      <c r="J180" s="5">
        <v>17.352</v>
      </c>
      <c r="K180" s="5">
        <v>17.35</v>
      </c>
      <c r="L180" s="5">
        <v>4.5</v>
      </c>
      <c r="M180" s="5">
        <v>4.5</v>
      </c>
      <c r="N180" t="s">
        <v>97</v>
      </c>
      <c r="O180" t="s">
        <v>52</v>
      </c>
      <c r="P180" s="2">
        <v>1.04</v>
      </c>
      <c r="Q180" s="2">
        <v>18.39</v>
      </c>
    </row>
    <row r="181" spans="1:17" x14ac:dyDescent="0.25">
      <c r="A181" t="s">
        <v>24</v>
      </c>
      <c r="B181" t="s">
        <v>25</v>
      </c>
      <c r="C181" t="s">
        <v>98</v>
      </c>
      <c r="D181" t="s">
        <v>99</v>
      </c>
      <c r="E181">
        <v>1</v>
      </c>
      <c r="F181">
        <v>28</v>
      </c>
      <c r="G181" s="5">
        <v>9.268</v>
      </c>
      <c r="H181" s="5">
        <v>0.164</v>
      </c>
      <c r="J181" s="5">
        <v>9.268</v>
      </c>
      <c r="K181" s="5">
        <v>9.27</v>
      </c>
      <c r="L181" s="5">
        <v>5</v>
      </c>
      <c r="M181" s="5">
        <v>5</v>
      </c>
      <c r="N181" t="s">
        <v>97</v>
      </c>
      <c r="O181" t="s">
        <v>52</v>
      </c>
      <c r="P181" s="2">
        <v>0.56</v>
      </c>
      <c r="Q181" s="2">
        <v>9.83</v>
      </c>
    </row>
    <row r="182" spans="1:17" x14ac:dyDescent="0.25">
      <c r="A182" t="s">
        <v>24</v>
      </c>
      <c r="B182" t="s">
        <v>25</v>
      </c>
      <c r="C182" t="s">
        <v>186</v>
      </c>
      <c r="D182" t="s">
        <v>187</v>
      </c>
      <c r="E182">
        <v>2</v>
      </c>
      <c r="F182">
        <v>48</v>
      </c>
      <c r="G182" s="5">
        <v>44.592</v>
      </c>
      <c r="H182" s="5">
        <v>2.549</v>
      </c>
      <c r="J182" s="5">
        <v>44.592</v>
      </c>
      <c r="K182" s="5">
        <v>89.18</v>
      </c>
      <c r="L182" s="5">
        <v>7.5</v>
      </c>
      <c r="M182" s="5">
        <v>15</v>
      </c>
      <c r="N182" t="s">
        <v>51</v>
      </c>
      <c r="O182" t="s">
        <v>52</v>
      </c>
      <c r="P182" s="2">
        <v>18.73</v>
      </c>
      <c r="Q182" s="2">
        <v>107.91</v>
      </c>
    </row>
    <row r="183" spans="1:17" x14ac:dyDescent="0.25">
      <c r="A183" t="s">
        <v>24</v>
      </c>
      <c r="B183" t="s">
        <v>25</v>
      </c>
      <c r="C183" t="s">
        <v>130</v>
      </c>
      <c r="D183" t="s">
        <v>131</v>
      </c>
      <c r="E183">
        <v>1</v>
      </c>
      <c r="F183">
        <v>2</v>
      </c>
      <c r="G183" s="5">
        <v>13.62</v>
      </c>
      <c r="H183" s="5"/>
      <c r="J183" s="5">
        <v>13.62</v>
      </c>
      <c r="K183" s="5">
        <v>13.62</v>
      </c>
      <c r="L183" s="5"/>
      <c r="M183" s="5"/>
      <c r="N183" t="s">
        <v>97</v>
      </c>
      <c r="O183" t="s">
        <v>52</v>
      </c>
      <c r="P183" s="2">
        <v>0.82</v>
      </c>
      <c r="Q183" s="2">
        <v>14.44</v>
      </c>
    </row>
    <row r="184" spans="1:17" x14ac:dyDescent="0.25">
      <c r="A184" t="s">
        <v>24</v>
      </c>
      <c r="B184" t="s">
        <v>25</v>
      </c>
      <c r="C184" t="s">
        <v>132</v>
      </c>
      <c r="D184" t="s">
        <v>133</v>
      </c>
      <c r="E184">
        <v>1</v>
      </c>
      <c r="F184">
        <v>2</v>
      </c>
      <c r="G184" s="5">
        <v>13.62</v>
      </c>
      <c r="H184" s="5"/>
      <c r="J184" s="5">
        <v>13.62</v>
      </c>
      <c r="K184" s="5">
        <v>13.62</v>
      </c>
      <c r="L184" s="5"/>
      <c r="M184" s="5"/>
      <c r="N184" t="s">
        <v>97</v>
      </c>
      <c r="O184" t="s">
        <v>52</v>
      </c>
      <c r="P184" s="2">
        <v>0.82</v>
      </c>
      <c r="Q184" s="2">
        <v>14.44</v>
      </c>
    </row>
    <row r="185" spans="1:17" x14ac:dyDescent="0.25">
      <c r="A185" t="s">
        <v>24</v>
      </c>
      <c r="B185" t="s">
        <v>25</v>
      </c>
      <c r="C185" t="s">
        <v>195</v>
      </c>
      <c r="D185" t="s">
        <v>196</v>
      </c>
      <c r="G185" s="5"/>
      <c r="H185" s="5"/>
      <c r="J185" s="5"/>
      <c r="K185" s="5"/>
      <c r="L185" s="5">
        <v>30</v>
      </c>
      <c r="M185" s="5">
        <v>-120</v>
      </c>
      <c r="N185" t="s">
        <v>33</v>
      </c>
      <c r="O185" t="s">
        <v>197</v>
      </c>
      <c r="P185" s="2"/>
      <c r="Q185" s="2"/>
    </row>
    <row r="186" spans="1:17" x14ac:dyDescent="0.25">
      <c r="A186" t="s">
        <v>24</v>
      </c>
      <c r="B186" t="s">
        <v>25</v>
      </c>
      <c r="C186" t="s">
        <v>183</v>
      </c>
      <c r="D186" t="s">
        <v>184</v>
      </c>
      <c r="G186" s="5"/>
      <c r="H186" s="5"/>
      <c r="J186" s="5"/>
      <c r="K186" s="5"/>
      <c r="L186" s="5">
        <v>60</v>
      </c>
      <c r="M186" s="5">
        <v>-60</v>
      </c>
      <c r="N186" t="s">
        <v>33</v>
      </c>
      <c r="O186" t="s">
        <v>185</v>
      </c>
      <c r="P186" s="2"/>
      <c r="Q186" s="2"/>
    </row>
    <row r="187" spans="1:17" x14ac:dyDescent="0.25">
      <c r="A187" t="s">
        <v>24</v>
      </c>
      <c r="B187" t="s">
        <v>25</v>
      </c>
      <c r="C187" t="s">
        <v>198</v>
      </c>
      <c r="D187" t="s">
        <v>199</v>
      </c>
      <c r="G187" s="5"/>
      <c r="H187" s="5"/>
      <c r="J187" s="5"/>
      <c r="K187" s="5"/>
      <c r="L187" s="5">
        <v>5</v>
      </c>
      <c r="M187" s="5">
        <v>-10</v>
      </c>
      <c r="N187" t="s">
        <v>33</v>
      </c>
      <c r="O187" t="s">
        <v>197</v>
      </c>
      <c r="P187" s="2"/>
      <c r="Q187" s="2"/>
    </row>
    <row r="188" spans="1:17" x14ac:dyDescent="0.25">
      <c r="A188" t="s">
        <v>24</v>
      </c>
      <c r="B188" t="s">
        <v>25</v>
      </c>
      <c r="C188" t="s">
        <v>222</v>
      </c>
      <c r="D188" t="s">
        <v>223</v>
      </c>
      <c r="G188" s="5"/>
      <c r="H188" s="5"/>
      <c r="J188" s="5"/>
      <c r="K188" s="5"/>
      <c r="L188" s="5">
        <v>7.5</v>
      </c>
      <c r="M188" s="5">
        <v>-7.5</v>
      </c>
      <c r="N188" t="s">
        <v>33</v>
      </c>
      <c r="O188" t="s">
        <v>197</v>
      </c>
      <c r="P188" s="2"/>
      <c r="Q188" s="2"/>
    </row>
    <row r="189" spans="1:17" x14ac:dyDescent="0.25">
      <c r="A189" t="s">
        <v>24</v>
      </c>
      <c r="B189" t="s">
        <v>25</v>
      </c>
      <c r="C189" t="s">
        <v>202</v>
      </c>
      <c r="D189" t="s">
        <v>203</v>
      </c>
      <c r="G189" s="5"/>
      <c r="H189" s="5"/>
      <c r="J189" s="5"/>
      <c r="K189" s="5"/>
      <c r="L189" s="5">
        <v>4.5</v>
      </c>
      <c r="M189" s="5">
        <v>-9</v>
      </c>
      <c r="N189" t="s">
        <v>33</v>
      </c>
      <c r="O189" t="s">
        <v>197</v>
      </c>
      <c r="P189" s="2"/>
      <c r="Q189" s="2"/>
    </row>
    <row r="190" spans="1:17" x14ac:dyDescent="0.25">
      <c r="A190" t="s">
        <v>26</v>
      </c>
      <c r="B190" t="s">
        <v>27</v>
      </c>
      <c r="C190" t="s">
        <v>71</v>
      </c>
      <c r="D190" t="s">
        <v>72</v>
      </c>
      <c r="E190">
        <v>2</v>
      </c>
      <c r="F190">
        <v>48</v>
      </c>
      <c r="G190" s="5">
        <v>35.472</v>
      </c>
      <c r="H190" s="5">
        <v>2.764</v>
      </c>
      <c r="J190" s="5">
        <v>35.472</v>
      </c>
      <c r="K190" s="5">
        <v>70.94</v>
      </c>
      <c r="L190" s="5">
        <v>4.5</v>
      </c>
      <c r="M190" s="5">
        <v>9</v>
      </c>
      <c r="N190" t="s">
        <v>51</v>
      </c>
      <c r="O190" t="s">
        <v>52</v>
      </c>
      <c r="P190" s="2">
        <v>14.9</v>
      </c>
      <c r="Q190" s="2">
        <v>85.84</v>
      </c>
    </row>
    <row r="191" spans="1:17" x14ac:dyDescent="0.25">
      <c r="A191" t="s">
        <v>26</v>
      </c>
      <c r="B191" t="s">
        <v>27</v>
      </c>
      <c r="C191" t="s">
        <v>186</v>
      </c>
      <c r="D191" t="s">
        <v>187</v>
      </c>
      <c r="E191">
        <v>3</v>
      </c>
      <c r="F191">
        <v>72</v>
      </c>
      <c r="G191" s="5">
        <v>44.592</v>
      </c>
      <c r="H191" s="5">
        <v>2.549</v>
      </c>
      <c r="J191" s="5">
        <v>44.592</v>
      </c>
      <c r="K191" s="5">
        <v>133.78</v>
      </c>
      <c r="L191" s="5">
        <v>7.5</v>
      </c>
      <c r="M191" s="5">
        <v>22.5</v>
      </c>
      <c r="N191" t="s">
        <v>51</v>
      </c>
      <c r="O191" t="s">
        <v>52</v>
      </c>
      <c r="P191" s="2">
        <v>28.09</v>
      </c>
      <c r="Q191" s="2">
        <v>161.87</v>
      </c>
    </row>
    <row r="192" spans="1:17" x14ac:dyDescent="0.25">
      <c r="A192" t="s">
        <v>26</v>
      </c>
      <c r="B192" t="s">
        <v>27</v>
      </c>
      <c r="C192" t="s">
        <v>120</v>
      </c>
      <c r="D192" t="s">
        <v>121</v>
      </c>
      <c r="E192">
        <v>2</v>
      </c>
      <c r="F192">
        <v>48</v>
      </c>
      <c r="G192" s="5">
        <v>16.584</v>
      </c>
      <c r="H192" s="5">
        <v>0.638</v>
      </c>
      <c r="J192" s="5">
        <v>16.584</v>
      </c>
      <c r="K192" s="5">
        <v>33.17</v>
      </c>
      <c r="L192" s="5">
        <v>5</v>
      </c>
      <c r="M192" s="5">
        <v>10</v>
      </c>
      <c r="N192" t="s">
        <v>97</v>
      </c>
      <c r="O192" t="s">
        <v>52</v>
      </c>
      <c r="P192" s="2">
        <v>1.99</v>
      </c>
      <c r="Q192" s="2">
        <v>35.16</v>
      </c>
    </row>
    <row r="193" spans="1:17" x14ac:dyDescent="0.25">
      <c r="A193" t="s">
        <v>26</v>
      </c>
      <c r="B193" t="s">
        <v>27</v>
      </c>
      <c r="C193" t="s">
        <v>116</v>
      </c>
      <c r="D193" t="s">
        <v>225</v>
      </c>
      <c r="E193">
        <v>10</v>
      </c>
      <c r="F193">
        <v>10</v>
      </c>
      <c r="G193" s="5">
        <v>24100.837</v>
      </c>
      <c r="H193" s="5">
        <v>0.006</v>
      </c>
      <c r="J193" s="5">
        <v>0.837</v>
      </c>
      <c r="K193" s="5">
        <v>8.37</v>
      </c>
      <c r="L193" s="5">
        <v>0.31</v>
      </c>
      <c r="M193" s="5">
        <v>3.1</v>
      </c>
      <c r="N193" t="s">
        <v>97</v>
      </c>
      <c r="O193" t="s">
        <v>52</v>
      </c>
      <c r="P193" s="2">
        <v>0.5</v>
      </c>
      <c r="Q193" s="2">
        <v>8.87</v>
      </c>
    </row>
    <row r="194" spans="1:17" x14ac:dyDescent="0.25">
      <c r="A194" t="s">
        <v>26</v>
      </c>
      <c r="B194" t="s">
        <v>27</v>
      </c>
      <c r="C194" t="s">
        <v>69</v>
      </c>
      <c r="D194" t="s">
        <v>70</v>
      </c>
      <c r="E194">
        <v>1</v>
      </c>
      <c r="F194">
        <v>24</v>
      </c>
      <c r="G194" s="5">
        <v>43.344</v>
      </c>
      <c r="H194" s="5">
        <v>2.763</v>
      </c>
      <c r="J194" s="5">
        <v>43.344</v>
      </c>
      <c r="K194" s="5">
        <v>43.34</v>
      </c>
      <c r="L194" s="5">
        <v>4.5</v>
      </c>
      <c r="M194" s="5">
        <v>4.5</v>
      </c>
      <c r="N194" t="s">
        <v>51</v>
      </c>
      <c r="O194" t="s">
        <v>52</v>
      </c>
      <c r="P194" s="2">
        <v>9.1</v>
      </c>
      <c r="Q194" s="2">
        <v>52.44</v>
      </c>
    </row>
    <row r="195" spans="1:17" x14ac:dyDescent="0.25">
      <c r="A195" t="s">
        <v>26</v>
      </c>
      <c r="B195" t="s">
        <v>27</v>
      </c>
      <c r="C195" t="s">
        <v>53</v>
      </c>
      <c r="D195" t="s">
        <v>54</v>
      </c>
      <c r="E195">
        <v>4</v>
      </c>
      <c r="F195">
        <v>4</v>
      </c>
      <c r="G195" s="5">
        <v>70.415</v>
      </c>
      <c r="H195" s="5">
        <v>4.105</v>
      </c>
      <c r="I195" s="6">
        <v>5</v>
      </c>
      <c r="J195" s="5">
        <v>67.099</v>
      </c>
      <c r="K195" s="5">
        <v>268.4</v>
      </c>
      <c r="L195" s="5">
        <v>30</v>
      </c>
      <c r="M195" s="5">
        <v>120</v>
      </c>
      <c r="N195" t="s">
        <v>51</v>
      </c>
      <c r="O195" t="s">
        <v>52</v>
      </c>
      <c r="P195" s="2">
        <v>56.36</v>
      </c>
      <c r="Q195" s="2">
        <v>324.76</v>
      </c>
    </row>
    <row r="196" spans="1:17" x14ac:dyDescent="0.25">
      <c r="A196" t="s">
        <v>26</v>
      </c>
      <c r="B196" t="s">
        <v>27</v>
      </c>
      <c r="C196" t="s">
        <v>136</v>
      </c>
      <c r="D196" t="s">
        <v>137</v>
      </c>
      <c r="E196">
        <v>5</v>
      </c>
      <c r="F196">
        <v>10</v>
      </c>
      <c r="G196" s="5">
        <v>13.62</v>
      </c>
      <c r="H196" s="5"/>
      <c r="J196" s="5">
        <v>13.62</v>
      </c>
      <c r="K196" s="5">
        <v>68.1</v>
      </c>
      <c r="L196" s="5"/>
      <c r="M196" s="5"/>
      <c r="N196" t="s">
        <v>97</v>
      </c>
      <c r="O196" t="s">
        <v>52</v>
      </c>
      <c r="P196" s="2">
        <v>4.09</v>
      </c>
      <c r="Q196" s="2">
        <v>72.19</v>
      </c>
    </row>
    <row r="197" spans="1:17" x14ac:dyDescent="0.25">
      <c r="A197" t="s">
        <v>26</v>
      </c>
      <c r="B197" t="s">
        <v>27</v>
      </c>
      <c r="C197" t="s">
        <v>130</v>
      </c>
      <c r="D197" t="s">
        <v>131</v>
      </c>
      <c r="E197">
        <v>3</v>
      </c>
      <c r="F197">
        <v>6</v>
      </c>
      <c r="G197" s="5">
        <v>13.62</v>
      </c>
      <c r="H197" s="5"/>
      <c r="J197" s="5">
        <v>13.62</v>
      </c>
      <c r="K197" s="5">
        <v>40.86</v>
      </c>
      <c r="L197" s="5"/>
      <c r="M197" s="5"/>
      <c r="N197" t="s">
        <v>97</v>
      </c>
      <c r="O197" t="s">
        <v>52</v>
      </c>
      <c r="P197" s="2">
        <v>2.45</v>
      </c>
      <c r="Q197" s="2">
        <v>43.31</v>
      </c>
    </row>
    <row r="198" spans="1:17" x14ac:dyDescent="0.25">
      <c r="A198" t="s">
        <v>26</v>
      </c>
      <c r="B198" t="s">
        <v>27</v>
      </c>
      <c r="C198" t="s">
        <v>132</v>
      </c>
      <c r="D198" t="s">
        <v>133</v>
      </c>
      <c r="E198">
        <v>3</v>
      </c>
      <c r="F198">
        <v>6</v>
      </c>
      <c r="G198" s="5">
        <v>13.62</v>
      </c>
      <c r="H198" s="5"/>
      <c r="J198" s="5">
        <v>13.62</v>
      </c>
      <c r="K198" s="5">
        <v>40.86</v>
      </c>
      <c r="L198" s="5"/>
      <c r="M198" s="5"/>
      <c r="N198" t="s">
        <v>97</v>
      </c>
      <c r="O198" t="s">
        <v>52</v>
      </c>
      <c r="P198" s="2">
        <v>2.45</v>
      </c>
      <c r="Q198" s="2">
        <v>43.31</v>
      </c>
    </row>
    <row r="199" spans="1:17" x14ac:dyDescent="0.25">
      <c r="A199" t="s">
        <v>26</v>
      </c>
      <c r="B199" t="s">
        <v>27</v>
      </c>
      <c r="C199" t="s">
        <v>148</v>
      </c>
      <c r="D199" t="s">
        <v>149</v>
      </c>
      <c r="E199">
        <v>15</v>
      </c>
      <c r="F199">
        <v>360</v>
      </c>
      <c r="G199" s="5">
        <v>23.184</v>
      </c>
      <c r="H199" s="5">
        <v>0.469</v>
      </c>
      <c r="J199" s="5">
        <v>23.184</v>
      </c>
      <c r="K199" s="5">
        <v>347.76</v>
      </c>
      <c r="L199" s="5"/>
      <c r="M199" s="5"/>
      <c r="N199" t="s">
        <v>97</v>
      </c>
      <c r="O199" t="s">
        <v>52</v>
      </c>
      <c r="P199" s="2">
        <v>20.87</v>
      </c>
      <c r="Q199" s="2">
        <v>368.63</v>
      </c>
    </row>
    <row r="200" spans="1:17" x14ac:dyDescent="0.25">
      <c r="A200" t="s">
        <v>26</v>
      </c>
      <c r="B200" t="s">
        <v>27</v>
      </c>
      <c r="C200" t="s">
        <v>218</v>
      </c>
      <c r="D200" t="s">
        <v>219</v>
      </c>
      <c r="E200">
        <v>1</v>
      </c>
      <c r="F200">
        <v>24</v>
      </c>
      <c r="G200" s="5">
        <v>41.424</v>
      </c>
      <c r="H200" s="5">
        <v>2.412</v>
      </c>
      <c r="J200" s="5">
        <v>41.424</v>
      </c>
      <c r="K200" s="5">
        <v>41.42</v>
      </c>
      <c r="L200" s="5">
        <v>4.5</v>
      </c>
      <c r="M200" s="5">
        <v>4.5</v>
      </c>
      <c r="N200" t="s">
        <v>51</v>
      </c>
      <c r="O200" t="s">
        <v>52</v>
      </c>
      <c r="P200" s="2">
        <v>8.7</v>
      </c>
      <c r="Q200" s="2">
        <v>50.12</v>
      </c>
    </row>
    <row r="201" spans="1:17" x14ac:dyDescent="0.25">
      <c r="A201" t="s">
        <v>26</v>
      </c>
      <c r="B201" t="s">
        <v>27</v>
      </c>
      <c r="C201" t="s">
        <v>126</v>
      </c>
      <c r="D201" t="s">
        <v>127</v>
      </c>
      <c r="E201">
        <v>1</v>
      </c>
      <c r="F201">
        <v>24</v>
      </c>
      <c r="G201" s="5">
        <v>16.776</v>
      </c>
      <c r="H201" s="5">
        <v>0.708</v>
      </c>
      <c r="J201" s="5">
        <v>16.776</v>
      </c>
      <c r="K201" s="5">
        <v>16.78</v>
      </c>
      <c r="L201" s="5">
        <v>5</v>
      </c>
      <c r="M201" s="5">
        <v>5</v>
      </c>
      <c r="N201" t="s">
        <v>97</v>
      </c>
      <c r="O201" t="s">
        <v>52</v>
      </c>
      <c r="P201" s="2">
        <v>1.01</v>
      </c>
      <c r="Q201" s="2">
        <v>17.79</v>
      </c>
    </row>
    <row r="202" spans="1:17" x14ac:dyDescent="0.25">
      <c r="A202" t="s">
        <v>26</v>
      </c>
      <c r="B202" t="s">
        <v>27</v>
      </c>
      <c r="C202" t="s">
        <v>226</v>
      </c>
      <c r="D202" t="s">
        <v>227</v>
      </c>
      <c r="E202">
        <v>3</v>
      </c>
      <c r="F202">
        <v>3</v>
      </c>
      <c r="G202" s="5">
        <v>1.849</v>
      </c>
      <c r="H202" s="5">
        <v>0.077</v>
      </c>
      <c r="J202" s="5">
        <v>1.849</v>
      </c>
      <c r="K202" s="5">
        <v>5.55</v>
      </c>
      <c r="L202" s="5">
        <v>0.2</v>
      </c>
      <c r="M202" s="5">
        <v>0.6</v>
      </c>
      <c r="N202" t="s">
        <v>51</v>
      </c>
      <c r="O202" t="s">
        <v>52</v>
      </c>
      <c r="P202" s="2">
        <v>1.17</v>
      </c>
      <c r="Q202" s="2">
        <v>6.72</v>
      </c>
    </row>
    <row r="203" spans="1:17" x14ac:dyDescent="0.25">
      <c r="A203" t="s">
        <v>26</v>
      </c>
      <c r="B203" t="s">
        <v>27</v>
      </c>
      <c r="C203" t="s">
        <v>114</v>
      </c>
      <c r="D203" t="s">
        <v>115</v>
      </c>
      <c r="E203">
        <v>1</v>
      </c>
      <c r="F203">
        <v>24</v>
      </c>
      <c r="G203" s="5">
        <v>17.352</v>
      </c>
      <c r="H203" s="5">
        <v>0.868</v>
      </c>
      <c r="J203" s="5">
        <v>17.352</v>
      </c>
      <c r="K203" s="5">
        <v>17.35</v>
      </c>
      <c r="L203" s="5">
        <v>4.5</v>
      </c>
      <c r="M203" s="5">
        <v>4.5</v>
      </c>
      <c r="N203" t="s">
        <v>97</v>
      </c>
      <c r="O203" t="s">
        <v>52</v>
      </c>
      <c r="P203" s="2">
        <v>1.04</v>
      </c>
      <c r="Q203" s="2">
        <v>18.39</v>
      </c>
    </row>
    <row r="204" spans="1:17" x14ac:dyDescent="0.25">
      <c r="A204" t="s">
        <v>26</v>
      </c>
      <c r="B204" t="s">
        <v>27</v>
      </c>
      <c r="C204" t="s">
        <v>114</v>
      </c>
      <c r="D204" t="s">
        <v>228</v>
      </c>
      <c r="E204">
        <v>24</v>
      </c>
      <c r="F204">
        <v>24</v>
      </c>
      <c r="G204" s="5"/>
      <c r="H204" s="5"/>
      <c r="J204" s="5"/>
      <c r="K204" s="5"/>
      <c r="L204" s="5">
        <v>4.5</v>
      </c>
      <c r="M204" s="5">
        <v>4.5</v>
      </c>
      <c r="N204" t="s">
        <v>97</v>
      </c>
      <c r="O204" t="s">
        <v>88</v>
      </c>
      <c r="P204" s="2"/>
      <c r="Q204" s="2"/>
    </row>
    <row r="205" spans="1:17" x14ac:dyDescent="0.25">
      <c r="A205" t="s">
        <v>26</v>
      </c>
      <c r="B205" t="s">
        <v>27</v>
      </c>
      <c r="C205" t="s">
        <v>229</v>
      </c>
      <c r="D205" t="s">
        <v>230</v>
      </c>
      <c r="E205">
        <v>1</v>
      </c>
      <c r="F205">
        <v>24</v>
      </c>
      <c r="G205" s="5">
        <v>17.352</v>
      </c>
      <c r="H205" s="5">
        <v>0.392</v>
      </c>
      <c r="J205" s="5">
        <v>17.352</v>
      </c>
      <c r="K205" s="5">
        <v>17.35</v>
      </c>
      <c r="L205" s="5">
        <v>4.5</v>
      </c>
      <c r="M205" s="5">
        <v>4.5</v>
      </c>
      <c r="N205" t="s">
        <v>97</v>
      </c>
      <c r="O205" t="s">
        <v>52</v>
      </c>
      <c r="P205" s="2">
        <v>1.04</v>
      </c>
      <c r="Q205" s="2">
        <v>18.39</v>
      </c>
    </row>
    <row r="206" spans="1:17" x14ac:dyDescent="0.25">
      <c r="A206" t="s">
        <v>26</v>
      </c>
      <c r="B206" t="s">
        <v>27</v>
      </c>
      <c r="C206" t="s">
        <v>229</v>
      </c>
      <c r="D206" t="s">
        <v>228</v>
      </c>
      <c r="E206">
        <v>24</v>
      </c>
      <c r="F206">
        <v>24</v>
      </c>
      <c r="G206" s="5"/>
      <c r="H206" s="5"/>
      <c r="J206" s="5"/>
      <c r="K206" s="5"/>
      <c r="L206" s="5">
        <v>4.5</v>
      </c>
      <c r="M206" s="5">
        <v>4.5</v>
      </c>
      <c r="N206" t="s">
        <v>97</v>
      </c>
      <c r="O206" t="s">
        <v>88</v>
      </c>
      <c r="P206" s="2"/>
      <c r="Q206" s="2"/>
    </row>
    <row r="207" spans="1:17" x14ac:dyDescent="0.25">
      <c r="A207" t="s">
        <v>26</v>
      </c>
      <c r="B207" t="s">
        <v>27</v>
      </c>
      <c r="C207" t="s">
        <v>112</v>
      </c>
      <c r="D207" t="s">
        <v>113</v>
      </c>
      <c r="E207">
        <v>1</v>
      </c>
      <c r="F207">
        <v>24</v>
      </c>
      <c r="G207" s="5">
        <v>17.352</v>
      </c>
      <c r="H207" s="5">
        <v>0.885</v>
      </c>
      <c r="J207" s="5">
        <v>17.352</v>
      </c>
      <c r="K207" s="5">
        <v>17.35</v>
      </c>
      <c r="L207" s="5">
        <v>4.5</v>
      </c>
      <c r="M207" s="5">
        <v>4.5</v>
      </c>
      <c r="N207" t="s">
        <v>97</v>
      </c>
      <c r="O207" t="s">
        <v>52</v>
      </c>
      <c r="P207" s="2">
        <v>1.04</v>
      </c>
      <c r="Q207" s="2">
        <v>18.39</v>
      </c>
    </row>
    <row r="208" spans="1:17" x14ac:dyDescent="0.25">
      <c r="A208" t="s">
        <v>26</v>
      </c>
      <c r="B208" t="s">
        <v>27</v>
      </c>
      <c r="C208" t="s">
        <v>112</v>
      </c>
      <c r="D208" t="s">
        <v>228</v>
      </c>
      <c r="E208">
        <v>24</v>
      </c>
      <c r="F208">
        <v>24</v>
      </c>
      <c r="G208" s="5"/>
      <c r="H208" s="5"/>
      <c r="J208" s="5"/>
      <c r="K208" s="5"/>
      <c r="L208" s="5">
        <v>4.5</v>
      </c>
      <c r="M208" s="5">
        <v>4.5</v>
      </c>
      <c r="N208" t="s">
        <v>97</v>
      </c>
      <c r="O208" t="s">
        <v>88</v>
      </c>
      <c r="P208" s="2"/>
      <c r="Q208" s="2"/>
    </row>
    <row r="209" spans="1:17" x14ac:dyDescent="0.25">
      <c r="A209" t="s">
        <v>26</v>
      </c>
      <c r="B209" t="s">
        <v>27</v>
      </c>
      <c r="C209" t="s">
        <v>231</v>
      </c>
      <c r="D209" t="s">
        <v>232</v>
      </c>
      <c r="E209">
        <v>1</v>
      </c>
      <c r="F209">
        <v>24</v>
      </c>
      <c r="G209" s="5">
        <v>20.16</v>
      </c>
      <c r="H209" s="5">
        <v>1.832</v>
      </c>
      <c r="J209" s="5">
        <v>20.16</v>
      </c>
      <c r="K209" s="5">
        <v>20.16</v>
      </c>
      <c r="L209" s="5"/>
      <c r="M209" s="5"/>
      <c r="N209" t="s">
        <v>97</v>
      </c>
      <c r="O209" t="s">
        <v>52</v>
      </c>
      <c r="P209" s="2">
        <v>1.21</v>
      </c>
      <c r="Q209" s="2">
        <v>21.37</v>
      </c>
    </row>
    <row r="210" spans="1:17" x14ac:dyDescent="0.25">
      <c r="A210" t="s">
        <v>26</v>
      </c>
      <c r="B210" t="s">
        <v>27</v>
      </c>
      <c r="C210" t="s">
        <v>231</v>
      </c>
      <c r="D210" t="s">
        <v>228</v>
      </c>
      <c r="E210">
        <v>24</v>
      </c>
      <c r="F210">
        <v>24</v>
      </c>
      <c r="G210" s="5"/>
      <c r="H210" s="5"/>
      <c r="J210" s="5"/>
      <c r="K210" s="5"/>
      <c r="L210" s="5"/>
      <c r="M210" s="5"/>
      <c r="N210" t="s">
        <v>97</v>
      </c>
      <c r="O210" t="s">
        <v>88</v>
      </c>
      <c r="P210" s="2"/>
      <c r="Q210" s="2"/>
    </row>
    <row r="211" spans="1:17" x14ac:dyDescent="0.25">
      <c r="A211" t="s">
        <v>26</v>
      </c>
      <c r="B211" t="s">
        <v>27</v>
      </c>
      <c r="C211" t="s">
        <v>233</v>
      </c>
      <c r="D211" t="s">
        <v>234</v>
      </c>
      <c r="E211">
        <v>1</v>
      </c>
      <c r="F211">
        <v>24</v>
      </c>
      <c r="G211" s="5">
        <v>20.472</v>
      </c>
      <c r="H211" s="5">
        <v>1.837</v>
      </c>
      <c r="J211" s="5">
        <v>20.472</v>
      </c>
      <c r="K211" s="5">
        <v>20.47</v>
      </c>
      <c r="L211" s="5"/>
      <c r="M211" s="5"/>
      <c r="N211" t="s">
        <v>97</v>
      </c>
      <c r="O211" t="s">
        <v>52</v>
      </c>
      <c r="P211" s="2">
        <v>1.23</v>
      </c>
      <c r="Q211" s="2">
        <v>21.7</v>
      </c>
    </row>
    <row r="212" spans="1:17" x14ac:dyDescent="0.25">
      <c r="A212" t="s">
        <v>26</v>
      </c>
      <c r="B212" t="s">
        <v>27</v>
      </c>
      <c r="C212" t="s">
        <v>233</v>
      </c>
      <c r="D212" t="s">
        <v>228</v>
      </c>
      <c r="E212">
        <v>24</v>
      </c>
      <c r="F212">
        <v>24</v>
      </c>
      <c r="G212" s="5"/>
      <c r="H212" s="5"/>
      <c r="J212" s="5"/>
      <c r="K212" s="5"/>
      <c r="L212" s="5"/>
      <c r="M212" s="5"/>
      <c r="N212" t="s">
        <v>97</v>
      </c>
      <c r="O212" t="s">
        <v>88</v>
      </c>
      <c r="P212" s="2"/>
      <c r="Q212" s="2"/>
    </row>
    <row r="213" spans="1:17" x14ac:dyDescent="0.25">
      <c r="A213" t="s">
        <v>26</v>
      </c>
      <c r="B213" t="s">
        <v>27</v>
      </c>
      <c r="C213" t="s">
        <v>235</v>
      </c>
      <c r="D213" t="s">
        <v>236</v>
      </c>
      <c r="E213">
        <v>1</v>
      </c>
      <c r="F213">
        <v>24</v>
      </c>
      <c r="G213" s="5">
        <v>20.16</v>
      </c>
      <c r="H213" s="5">
        <v>1.832</v>
      </c>
      <c r="J213" s="5">
        <v>20.16</v>
      </c>
      <c r="K213" s="5">
        <v>20.16</v>
      </c>
      <c r="L213" s="5"/>
      <c r="M213" s="5"/>
      <c r="N213" t="s">
        <v>97</v>
      </c>
      <c r="O213" t="s">
        <v>52</v>
      </c>
      <c r="P213" s="2">
        <v>1.21</v>
      </c>
      <c r="Q213" s="2">
        <v>21.37</v>
      </c>
    </row>
    <row r="214" spans="1:17" x14ac:dyDescent="0.25">
      <c r="A214" t="s">
        <v>26</v>
      </c>
      <c r="B214" t="s">
        <v>27</v>
      </c>
      <c r="C214" t="s">
        <v>235</v>
      </c>
      <c r="D214" t="s">
        <v>228</v>
      </c>
      <c r="E214">
        <v>24</v>
      </c>
      <c r="F214">
        <v>24</v>
      </c>
      <c r="G214" s="5"/>
      <c r="H214" s="5"/>
      <c r="J214" s="5"/>
      <c r="K214" s="5"/>
      <c r="L214" s="5"/>
      <c r="M214" s="5"/>
      <c r="N214" t="s">
        <v>97</v>
      </c>
      <c r="O214" t="s">
        <v>88</v>
      </c>
      <c r="P214" s="2"/>
      <c r="Q214" s="2"/>
    </row>
    <row r="215" spans="1:17" x14ac:dyDescent="0.25">
      <c r="A215" t="s">
        <v>26</v>
      </c>
      <c r="B215" t="s">
        <v>27</v>
      </c>
      <c r="C215" t="s">
        <v>183</v>
      </c>
      <c r="D215" t="s">
        <v>184</v>
      </c>
      <c r="G215" s="5"/>
      <c r="H215" s="5"/>
      <c r="J215" s="5"/>
      <c r="K215" s="5"/>
      <c r="L215" s="5">
        <v>60</v>
      </c>
      <c r="M215" s="5">
        <v>-60</v>
      </c>
      <c r="N215" t="s">
        <v>33</v>
      </c>
      <c r="O215" t="s">
        <v>185</v>
      </c>
      <c r="P215" s="2"/>
      <c r="Q215" s="2"/>
    </row>
    <row r="216" spans="1:17" x14ac:dyDescent="0.25">
      <c r="A216" t="s">
        <v>26</v>
      </c>
      <c r="B216" t="s">
        <v>27</v>
      </c>
      <c r="C216" t="s">
        <v>195</v>
      </c>
      <c r="D216" t="s">
        <v>196</v>
      </c>
      <c r="G216" s="5"/>
      <c r="H216" s="5"/>
      <c r="J216" s="5"/>
      <c r="K216" s="5"/>
      <c r="L216" s="5">
        <v>30</v>
      </c>
      <c r="M216" s="5">
        <v>-120</v>
      </c>
      <c r="N216" t="s">
        <v>33</v>
      </c>
      <c r="O216" t="s">
        <v>197</v>
      </c>
      <c r="P216" s="2"/>
      <c r="Q216" s="2"/>
    </row>
    <row r="217" spans="1:17" x14ac:dyDescent="0.25">
      <c r="A217" t="s">
        <v>26</v>
      </c>
      <c r="B217" t="s">
        <v>27</v>
      </c>
      <c r="C217" t="s">
        <v>198</v>
      </c>
      <c r="D217" t="s">
        <v>199</v>
      </c>
      <c r="G217" s="5"/>
      <c r="H217" s="5"/>
      <c r="J217" s="5"/>
      <c r="K217" s="5"/>
      <c r="L217" s="5">
        <v>5</v>
      </c>
      <c r="M217" s="5">
        <v>-10</v>
      </c>
      <c r="N217" t="s">
        <v>33</v>
      </c>
      <c r="O217" t="s">
        <v>197</v>
      </c>
      <c r="P217" s="2"/>
      <c r="Q217" s="2"/>
    </row>
    <row r="218" spans="1:17" x14ac:dyDescent="0.25">
      <c r="A218" t="s">
        <v>26</v>
      </c>
      <c r="B218" t="s">
        <v>27</v>
      </c>
      <c r="C218" t="s">
        <v>222</v>
      </c>
      <c r="D218" t="s">
        <v>223</v>
      </c>
      <c r="G218" s="5"/>
      <c r="H218" s="5"/>
      <c r="J218" s="5"/>
      <c r="K218" s="5"/>
      <c r="L218" s="5">
        <v>7.5</v>
      </c>
      <c r="M218" s="5">
        <v>-15</v>
      </c>
      <c r="N218" t="s">
        <v>33</v>
      </c>
      <c r="O218" t="s">
        <v>197</v>
      </c>
      <c r="P218" s="2"/>
      <c r="Q218" s="2"/>
    </row>
    <row r="219" spans="1:17" x14ac:dyDescent="0.25">
      <c r="A219" t="s">
        <v>26</v>
      </c>
      <c r="B219" t="s">
        <v>27</v>
      </c>
      <c r="C219" t="s">
        <v>202</v>
      </c>
      <c r="D219" t="s">
        <v>203</v>
      </c>
      <c r="G219" s="5"/>
      <c r="H219" s="5"/>
      <c r="J219" s="5"/>
      <c r="K219" s="5"/>
      <c r="L219" s="5">
        <v>4.5</v>
      </c>
      <c r="M219" s="5">
        <v>-22.5</v>
      </c>
      <c r="N219" t="s">
        <v>33</v>
      </c>
      <c r="O219" t="s">
        <v>197</v>
      </c>
      <c r="P219" s="2"/>
      <c r="Q219" s="2"/>
    </row>
    <row r="220" spans="1:17" x14ac:dyDescent="0.25">
      <c r="A220" t="s">
        <v>28</v>
      </c>
      <c r="B220" t="s">
        <v>29</v>
      </c>
      <c r="C220" t="s">
        <v>186</v>
      </c>
      <c r="D220" t="s">
        <v>187</v>
      </c>
      <c r="E220">
        <v>3</v>
      </c>
      <c r="F220">
        <v>72</v>
      </c>
      <c r="G220" s="5">
        <v>44.595</v>
      </c>
      <c r="H220" s="5">
        <v>2.549</v>
      </c>
      <c r="J220" s="5">
        <v>44.595</v>
      </c>
      <c r="K220" s="5">
        <v>133.79</v>
      </c>
      <c r="L220" s="5">
        <v>7.5</v>
      </c>
      <c r="M220" s="5">
        <v>22.5</v>
      </c>
      <c r="N220" t="s">
        <v>51</v>
      </c>
      <c r="O220" t="s">
        <v>52</v>
      </c>
      <c r="P220" s="2">
        <v>28.1</v>
      </c>
      <c r="Q220" s="2">
        <v>161.89</v>
      </c>
    </row>
    <row r="221" spans="1:17" x14ac:dyDescent="0.25">
      <c r="A221" t="s">
        <v>28</v>
      </c>
      <c r="B221" t="s">
        <v>29</v>
      </c>
      <c r="C221" t="s">
        <v>71</v>
      </c>
      <c r="D221" t="s">
        <v>72</v>
      </c>
      <c r="E221">
        <v>2</v>
      </c>
      <c r="F221">
        <v>48</v>
      </c>
      <c r="G221" s="5">
        <v>35.471</v>
      </c>
      <c r="H221" s="5">
        <v>2.764</v>
      </c>
      <c r="J221" s="5">
        <v>35.471</v>
      </c>
      <c r="K221" s="5">
        <v>70.94</v>
      </c>
      <c r="L221" s="5">
        <v>4.5</v>
      </c>
      <c r="M221" s="5">
        <v>9</v>
      </c>
      <c r="N221" t="s">
        <v>51</v>
      </c>
      <c r="O221" t="s">
        <v>52</v>
      </c>
      <c r="P221" s="2">
        <v>14.9</v>
      </c>
      <c r="Q221" s="2">
        <v>85.84</v>
      </c>
    </row>
    <row r="222" spans="1:17" x14ac:dyDescent="0.25">
      <c r="A222" t="s">
        <v>28</v>
      </c>
      <c r="B222" t="s">
        <v>29</v>
      </c>
      <c r="C222" t="s">
        <v>77</v>
      </c>
      <c r="D222" t="s">
        <v>78</v>
      </c>
      <c r="E222">
        <v>2</v>
      </c>
      <c r="F222">
        <v>48</v>
      </c>
      <c r="G222" s="5">
        <v>32.711</v>
      </c>
      <c r="H222" s="5">
        <v>2.467</v>
      </c>
      <c r="J222" s="5">
        <v>32.711</v>
      </c>
      <c r="K222" s="5">
        <v>65.42</v>
      </c>
      <c r="L222" s="5">
        <v>4.5</v>
      </c>
      <c r="M222" s="5">
        <v>9</v>
      </c>
      <c r="N222" t="s">
        <v>51</v>
      </c>
      <c r="O222" t="s">
        <v>52</v>
      </c>
      <c r="P222" s="2">
        <v>13.74</v>
      </c>
      <c r="Q222" s="2">
        <v>79.16</v>
      </c>
    </row>
    <row r="223" spans="1:17" x14ac:dyDescent="0.25">
      <c r="A223" t="s">
        <v>28</v>
      </c>
      <c r="B223" t="s">
        <v>29</v>
      </c>
      <c r="C223" t="s">
        <v>218</v>
      </c>
      <c r="D223" t="s">
        <v>219</v>
      </c>
      <c r="E223">
        <v>1</v>
      </c>
      <c r="F223">
        <v>24</v>
      </c>
      <c r="G223" s="5">
        <v>41.421</v>
      </c>
      <c r="H223" s="5">
        <v>2.412</v>
      </c>
      <c r="J223" s="5">
        <v>41.421</v>
      </c>
      <c r="K223" s="5">
        <v>41.42</v>
      </c>
      <c r="L223" s="5">
        <v>4.5</v>
      </c>
      <c r="M223" s="5">
        <v>4.5</v>
      </c>
      <c r="N223" t="s">
        <v>51</v>
      </c>
      <c r="O223" t="s">
        <v>52</v>
      </c>
      <c r="P223" s="2">
        <v>8.7</v>
      </c>
      <c r="Q223" s="2">
        <v>50.12</v>
      </c>
    </row>
    <row r="224" spans="1:17" x14ac:dyDescent="0.25">
      <c r="A224" t="s">
        <v>28</v>
      </c>
      <c r="B224" t="s">
        <v>29</v>
      </c>
      <c r="C224" t="s">
        <v>218</v>
      </c>
      <c r="D224" t="s">
        <v>237</v>
      </c>
      <c r="E224">
        <v>10</v>
      </c>
      <c r="F224">
        <v>10</v>
      </c>
      <c r="G224" s="5">
        <v>24101.793</v>
      </c>
      <c r="H224" s="5">
        <v>0.1</v>
      </c>
      <c r="J224" s="5">
        <v>1.793</v>
      </c>
      <c r="K224" s="5">
        <v>17.93</v>
      </c>
      <c r="L224" s="5">
        <v>0.31</v>
      </c>
      <c r="M224" s="5">
        <v>3.1</v>
      </c>
      <c r="N224" t="s">
        <v>51</v>
      </c>
      <c r="O224" t="s">
        <v>52</v>
      </c>
      <c r="P224" s="2">
        <v>3.77</v>
      </c>
      <c r="Q224" s="2">
        <v>21.7</v>
      </c>
    </row>
    <row r="225" spans="1:17" x14ac:dyDescent="0.25">
      <c r="A225" t="s">
        <v>28</v>
      </c>
      <c r="B225" t="s">
        <v>29</v>
      </c>
      <c r="C225" t="s">
        <v>61</v>
      </c>
      <c r="D225" t="s">
        <v>62</v>
      </c>
      <c r="E225">
        <v>3</v>
      </c>
      <c r="F225">
        <v>36</v>
      </c>
      <c r="G225" s="5">
        <v>21.554</v>
      </c>
      <c r="H225" s="5">
        <v>1.207</v>
      </c>
      <c r="J225" s="5">
        <v>21.554</v>
      </c>
      <c r="K225" s="5">
        <v>64.66</v>
      </c>
      <c r="L225" s="5">
        <v>4.5</v>
      </c>
      <c r="M225" s="5">
        <v>13.5</v>
      </c>
      <c r="N225" t="s">
        <v>51</v>
      </c>
      <c r="O225" t="s">
        <v>52</v>
      </c>
      <c r="P225" s="2">
        <v>13.58</v>
      </c>
      <c r="Q225" s="2">
        <v>78.24</v>
      </c>
    </row>
    <row r="226" spans="1:17" x14ac:dyDescent="0.25">
      <c r="A226" t="s">
        <v>28</v>
      </c>
      <c r="B226" t="s">
        <v>29</v>
      </c>
      <c r="C226" t="s">
        <v>53</v>
      </c>
      <c r="D226" t="s">
        <v>54</v>
      </c>
      <c r="E226">
        <v>2</v>
      </c>
      <c r="F226">
        <v>2</v>
      </c>
      <c r="G226" s="5">
        <v>70.413</v>
      </c>
      <c r="H226" s="5">
        <v>4.105</v>
      </c>
      <c r="I226" s="6">
        <v>5</v>
      </c>
      <c r="J226" s="5">
        <v>67.098</v>
      </c>
      <c r="K226" s="5">
        <v>134.2</v>
      </c>
      <c r="L226" s="5">
        <v>30</v>
      </c>
      <c r="M226" s="5">
        <v>60</v>
      </c>
      <c r="N226" t="s">
        <v>51</v>
      </c>
      <c r="O226" t="s">
        <v>52</v>
      </c>
      <c r="P226" s="2">
        <v>28.18</v>
      </c>
      <c r="Q226" s="2">
        <v>162.38</v>
      </c>
    </row>
    <row r="227" spans="1:17" x14ac:dyDescent="0.25">
      <c r="A227" t="s">
        <v>28</v>
      </c>
      <c r="B227" t="s">
        <v>29</v>
      </c>
      <c r="C227" t="s">
        <v>55</v>
      </c>
      <c r="D227" t="s">
        <v>56</v>
      </c>
      <c r="E227">
        <v>2</v>
      </c>
      <c r="F227">
        <v>2</v>
      </c>
      <c r="G227" s="5">
        <v>88.769</v>
      </c>
      <c r="H227" s="5">
        <v>6.69</v>
      </c>
      <c r="I227" s="6">
        <v>5</v>
      </c>
      <c r="J227" s="5">
        <v>84.665</v>
      </c>
      <c r="K227" s="5">
        <v>169.33</v>
      </c>
      <c r="L227" s="5">
        <v>60</v>
      </c>
      <c r="M227" s="5">
        <v>120</v>
      </c>
      <c r="N227" t="s">
        <v>51</v>
      </c>
      <c r="O227" t="s">
        <v>52</v>
      </c>
      <c r="P227" s="2">
        <v>35.56</v>
      </c>
      <c r="Q227" s="2">
        <v>204.89</v>
      </c>
    </row>
    <row r="228" spans="1:17" x14ac:dyDescent="0.25">
      <c r="A228" t="s">
        <v>28</v>
      </c>
      <c r="B228" t="s">
        <v>29</v>
      </c>
      <c r="C228" t="s">
        <v>183</v>
      </c>
      <c r="D228" t="s">
        <v>184</v>
      </c>
      <c r="G228" s="5"/>
      <c r="H228" s="5"/>
      <c r="J228" s="5"/>
      <c r="K228" s="5"/>
      <c r="L228" s="5">
        <v>60</v>
      </c>
      <c r="M228" s="5">
        <v>-180</v>
      </c>
      <c r="N228" t="s">
        <v>33</v>
      </c>
      <c r="O228" t="s">
        <v>185</v>
      </c>
      <c r="P228" s="2"/>
      <c r="Q228" s="2"/>
    </row>
    <row r="229" spans="1:17" x14ac:dyDescent="0.25">
      <c r="A229" t="s">
        <v>28</v>
      </c>
      <c r="B229" t="s">
        <v>29</v>
      </c>
      <c r="C229" t="s">
        <v>195</v>
      </c>
      <c r="D229" t="s">
        <v>196</v>
      </c>
      <c r="G229" s="5"/>
      <c r="H229" s="5"/>
      <c r="J229" s="5"/>
      <c r="K229" s="5"/>
      <c r="L229" s="5">
        <v>30</v>
      </c>
      <c r="M229" s="5">
        <v>-30</v>
      </c>
      <c r="N229" t="s">
        <v>33</v>
      </c>
      <c r="O229" t="s">
        <v>197</v>
      </c>
      <c r="P229" s="2"/>
      <c r="Q229" s="2"/>
    </row>
    <row r="230" spans="1:17" x14ac:dyDescent="0.25">
      <c r="A230" t="s">
        <v>28</v>
      </c>
      <c r="B230" t="s">
        <v>29</v>
      </c>
      <c r="C230" t="s">
        <v>222</v>
      </c>
      <c r="D230" t="s">
        <v>223</v>
      </c>
      <c r="G230" s="5"/>
      <c r="H230" s="5"/>
      <c r="J230" s="5"/>
      <c r="K230" s="5"/>
      <c r="L230" s="5">
        <v>7.5</v>
      </c>
      <c r="M230" s="5">
        <v>-7.5</v>
      </c>
      <c r="N230" t="s">
        <v>33</v>
      </c>
      <c r="O230" t="s">
        <v>197</v>
      </c>
      <c r="P230" s="2"/>
      <c r="Q230" s="2"/>
    </row>
    <row r="231" spans="1:17" x14ac:dyDescent="0.25">
      <c r="A231" t="s">
        <v>28</v>
      </c>
      <c r="B231" t="s">
        <v>29</v>
      </c>
      <c r="C231" t="s">
        <v>202</v>
      </c>
      <c r="D231" t="s">
        <v>203</v>
      </c>
      <c r="G231" s="5"/>
      <c r="H231" s="5"/>
      <c r="J231" s="5"/>
      <c r="K231" s="5"/>
      <c r="L231" s="5">
        <v>4.5</v>
      </c>
      <c r="M231" s="5">
        <v>-13.5</v>
      </c>
      <c r="N231" t="s">
        <v>33</v>
      </c>
      <c r="O231" t="s">
        <v>197</v>
      </c>
      <c r="P231" s="2"/>
      <c r="Q231" s="2"/>
    </row>
    <row r="232" spans="1:17" x14ac:dyDescent="0.25">
      <c r="A232" t="s">
        <v>28</v>
      </c>
      <c r="B232" t="s">
        <v>29</v>
      </c>
      <c r="C232" t="s">
        <v>112</v>
      </c>
      <c r="D232" t="s">
        <v>238</v>
      </c>
      <c r="E232">
        <v>-2</v>
      </c>
      <c r="F232">
        <v>-2</v>
      </c>
      <c r="G232" s="5">
        <v>2417.349</v>
      </c>
      <c r="H232" s="5">
        <v>0.885</v>
      </c>
      <c r="J232" s="5">
        <v>17.349</v>
      </c>
      <c r="K232" s="5">
        <v>-34.7</v>
      </c>
      <c r="L232" s="5">
        <v>4.5</v>
      </c>
      <c r="M232" s="5">
        <v>-9</v>
      </c>
      <c r="N232" t="s">
        <v>97</v>
      </c>
      <c r="O232" t="s">
        <v>52</v>
      </c>
      <c r="P232" s="2">
        <v>-2.08</v>
      </c>
      <c r="Q232" s="2">
        <v>-36.78</v>
      </c>
    </row>
    <row r="233" spans="1:17" x14ac:dyDescent="0.25">
      <c r="A233" t="s">
        <v>28</v>
      </c>
      <c r="B233" t="s">
        <v>29</v>
      </c>
      <c r="C233" t="s">
        <v>116</v>
      </c>
      <c r="D233" t="s">
        <v>239</v>
      </c>
      <c r="E233">
        <v>-1</v>
      </c>
      <c r="F233">
        <v>-1</v>
      </c>
      <c r="G233" s="5">
        <v>2418.651</v>
      </c>
      <c r="H233" s="5">
        <v>0.135</v>
      </c>
      <c r="J233" s="5">
        <v>18.651</v>
      </c>
      <c r="K233" s="5">
        <v>-18.65</v>
      </c>
      <c r="L233" s="5">
        <v>4.5</v>
      </c>
      <c r="M233" s="5">
        <v>-4.5</v>
      </c>
      <c r="N233" t="s">
        <v>97</v>
      </c>
      <c r="O233" t="s">
        <v>52</v>
      </c>
      <c r="P233" s="2">
        <v>-1.12</v>
      </c>
      <c r="Q233" s="2">
        <v>-19.77</v>
      </c>
    </row>
    <row r="234" spans="1:17" x14ac:dyDescent="0.25">
      <c r="A234" t="s">
        <v>28</v>
      </c>
      <c r="B234" t="s">
        <v>29</v>
      </c>
      <c r="C234" t="s">
        <v>61</v>
      </c>
      <c r="D234" t="s">
        <v>240</v>
      </c>
      <c r="E234">
        <v>-1</v>
      </c>
      <c r="F234">
        <v>-1</v>
      </c>
      <c r="G234" s="5">
        <v>1221.554</v>
      </c>
      <c r="H234" s="5">
        <v>1.207</v>
      </c>
      <c r="J234" s="5">
        <v>21.554</v>
      </c>
      <c r="K234" s="5">
        <v>-21.55</v>
      </c>
      <c r="L234" s="5">
        <v>4.5</v>
      </c>
      <c r="M234" s="5">
        <v>-4.5</v>
      </c>
      <c r="N234" t="s">
        <v>51</v>
      </c>
      <c r="O234" t="s">
        <v>52</v>
      </c>
      <c r="P234" s="2">
        <v>-4.53</v>
      </c>
      <c r="Q234" s="2">
        <v>-26.08</v>
      </c>
    </row>
    <row r="235" spans="1:17" x14ac:dyDescent="0.25">
      <c r="A235" t="s">
        <v>28</v>
      </c>
      <c r="B235" t="s">
        <v>29</v>
      </c>
      <c r="C235" t="s">
        <v>110</v>
      </c>
      <c r="D235" t="s">
        <v>241</v>
      </c>
      <c r="E235">
        <v>-1</v>
      </c>
      <c r="F235">
        <v>-1</v>
      </c>
      <c r="G235" s="5">
        <v>2425.462</v>
      </c>
      <c r="H235" s="5">
        <v>0.885</v>
      </c>
      <c r="J235" s="5">
        <v>25.462</v>
      </c>
      <c r="K235" s="5">
        <v>-25.46</v>
      </c>
      <c r="L235" s="5">
        <v>5.5</v>
      </c>
      <c r="M235" s="5">
        <v>-5.5</v>
      </c>
      <c r="N235" t="s">
        <v>97</v>
      </c>
      <c r="O235" t="s">
        <v>52</v>
      </c>
      <c r="P235" s="2">
        <v>-1.53</v>
      </c>
      <c r="Q235" s="2">
        <v>-26.99</v>
      </c>
    </row>
    <row r="236" spans="1:17" x14ac:dyDescent="0.25">
      <c r="A236" t="s">
        <v>28</v>
      </c>
      <c r="B236" t="s">
        <v>29</v>
      </c>
      <c r="C236" t="s">
        <v>104</v>
      </c>
      <c r="D236" t="s">
        <v>242</v>
      </c>
      <c r="E236">
        <v>-1</v>
      </c>
      <c r="F236">
        <v>-1</v>
      </c>
      <c r="G236" s="5">
        <v>2424.887</v>
      </c>
      <c r="H236" s="5">
        <v>0.885</v>
      </c>
      <c r="J236" s="5">
        <v>24.887</v>
      </c>
      <c r="K236" s="5">
        <v>-24.89</v>
      </c>
      <c r="L236" s="5">
        <v>5.5</v>
      </c>
      <c r="M236" s="5">
        <v>-5.5</v>
      </c>
      <c r="N236" t="s">
        <v>97</v>
      </c>
      <c r="O236" t="s">
        <v>52</v>
      </c>
      <c r="P236" s="2">
        <v>-1.49</v>
      </c>
      <c r="Q236" s="2">
        <v>-26.38</v>
      </c>
    </row>
    <row r="237" spans="1:17" x14ac:dyDescent="0.25">
      <c r="A237" t="s">
        <v>28</v>
      </c>
      <c r="B237" t="s">
        <v>29</v>
      </c>
      <c r="C237" t="s">
        <v>106</v>
      </c>
      <c r="D237" t="s">
        <v>243</v>
      </c>
      <c r="E237">
        <v>-1</v>
      </c>
      <c r="F237">
        <v>-1</v>
      </c>
      <c r="G237" s="5">
        <v>2422.292</v>
      </c>
      <c r="H237" s="5">
        <v>0.708</v>
      </c>
      <c r="J237" s="5">
        <v>22.292</v>
      </c>
      <c r="K237" s="5">
        <v>-22.29</v>
      </c>
      <c r="L237" s="5">
        <v>4.5</v>
      </c>
      <c r="M237" s="5">
        <v>-4.5</v>
      </c>
      <c r="N237" t="s">
        <v>97</v>
      </c>
      <c r="O237" t="s">
        <v>52</v>
      </c>
      <c r="P237" s="2">
        <v>-1.34</v>
      </c>
      <c r="Q237" s="2">
        <v>-23.63</v>
      </c>
    </row>
    <row r="238" spans="1:17" x14ac:dyDescent="0.25">
      <c r="A238" t="s">
        <v>28</v>
      </c>
      <c r="B238" t="s">
        <v>29</v>
      </c>
      <c r="C238" t="s">
        <v>124</v>
      </c>
      <c r="D238" t="s">
        <v>244</v>
      </c>
      <c r="E238">
        <v>-1</v>
      </c>
      <c r="F238">
        <v>-1</v>
      </c>
      <c r="G238" s="5">
        <v>2416.774</v>
      </c>
      <c r="H238" s="5">
        <v>0.708</v>
      </c>
      <c r="J238" s="5">
        <v>16.774</v>
      </c>
      <c r="K238" s="5">
        <v>-16.77</v>
      </c>
      <c r="L238" s="5">
        <v>5</v>
      </c>
      <c r="M238" s="5">
        <v>-5</v>
      </c>
      <c r="N238" t="s">
        <v>97</v>
      </c>
      <c r="O238" t="s">
        <v>52</v>
      </c>
      <c r="P238" s="2">
        <v>-1.01</v>
      </c>
      <c r="Q238" s="2">
        <v>-17.78</v>
      </c>
    </row>
    <row r="239" spans="1:17" x14ac:dyDescent="0.25">
      <c r="A239" t="s">
        <v>28</v>
      </c>
      <c r="B239" t="s">
        <v>29</v>
      </c>
      <c r="C239" t="s">
        <v>102</v>
      </c>
      <c r="D239" t="s">
        <v>245</v>
      </c>
      <c r="E239">
        <v>-2</v>
      </c>
      <c r="F239">
        <v>-2</v>
      </c>
      <c r="G239" s="5">
        <v>2425.368</v>
      </c>
      <c r="H239" s="5">
        <v>0.885</v>
      </c>
      <c r="J239" s="5">
        <v>25.368</v>
      </c>
      <c r="K239" s="5">
        <v>-50.74</v>
      </c>
      <c r="L239" s="5">
        <v>5.5</v>
      </c>
      <c r="M239" s="5">
        <v>-11</v>
      </c>
      <c r="N239" t="s">
        <v>97</v>
      </c>
      <c r="O239" t="s">
        <v>52</v>
      </c>
      <c r="P239" s="2">
        <v>-3.04</v>
      </c>
      <c r="Q239" s="2">
        <v>-53.78</v>
      </c>
    </row>
    <row r="240" spans="1:17" x14ac:dyDescent="0.25">
      <c r="A240" t="s">
        <v>28</v>
      </c>
      <c r="B240" t="s">
        <v>29</v>
      </c>
      <c r="C240" t="s">
        <v>108</v>
      </c>
      <c r="D240" t="s">
        <v>246</v>
      </c>
      <c r="E240">
        <v>-1</v>
      </c>
      <c r="F240">
        <v>-1</v>
      </c>
      <c r="G240" s="5">
        <v>2426.019</v>
      </c>
      <c r="H240" s="5">
        <v>0.331</v>
      </c>
      <c r="J240" s="5">
        <v>26.019</v>
      </c>
      <c r="K240" s="5">
        <v>-26.02</v>
      </c>
      <c r="L240" s="5">
        <v>4.5</v>
      </c>
      <c r="M240" s="5">
        <v>-4.5</v>
      </c>
      <c r="N240" t="s">
        <v>97</v>
      </c>
      <c r="O240" t="s">
        <v>52</v>
      </c>
      <c r="P240" s="2">
        <v>-1.56</v>
      </c>
      <c r="Q240" s="2">
        <v>-27.58</v>
      </c>
    </row>
    <row r="241" spans="1:17" x14ac:dyDescent="0.25">
      <c r="A241" t="s">
        <v>30</v>
      </c>
      <c r="B241" t="s">
        <v>31</v>
      </c>
      <c r="C241" t="s">
        <v>55</v>
      </c>
      <c r="D241" t="s">
        <v>56</v>
      </c>
      <c r="E241">
        <v>2</v>
      </c>
      <c r="F241">
        <v>2</v>
      </c>
      <c r="G241" s="5">
        <v>88.766</v>
      </c>
      <c r="H241" s="5">
        <v>6.69</v>
      </c>
      <c r="I241" s="6">
        <v>5</v>
      </c>
      <c r="J241" s="5">
        <v>84.662</v>
      </c>
      <c r="K241" s="5">
        <v>169.32</v>
      </c>
      <c r="L241" s="5">
        <v>60</v>
      </c>
      <c r="M241" s="5">
        <v>120</v>
      </c>
      <c r="N241" t="s">
        <v>51</v>
      </c>
      <c r="O241" t="s">
        <v>52</v>
      </c>
      <c r="P241" s="2">
        <v>35.56</v>
      </c>
      <c r="Q241" s="2">
        <v>204.88</v>
      </c>
    </row>
    <row r="242" spans="1:17" x14ac:dyDescent="0.25">
      <c r="A242" t="s">
        <v>30</v>
      </c>
      <c r="B242" t="s">
        <v>31</v>
      </c>
      <c r="C242" t="s">
        <v>186</v>
      </c>
      <c r="D242" t="s">
        <v>187</v>
      </c>
      <c r="E242">
        <v>3</v>
      </c>
      <c r="F242">
        <v>72</v>
      </c>
      <c r="G242" s="5">
        <v>44.592</v>
      </c>
      <c r="H242" s="5">
        <v>2.549</v>
      </c>
      <c r="J242" s="5">
        <v>44.592</v>
      </c>
      <c r="K242" s="5">
        <v>133.78</v>
      </c>
      <c r="L242" s="5">
        <v>7.5</v>
      </c>
      <c r="M242" s="5">
        <v>22.5</v>
      </c>
      <c r="N242" t="s">
        <v>51</v>
      </c>
      <c r="O242" t="s">
        <v>52</v>
      </c>
      <c r="P242" s="2">
        <v>28.09</v>
      </c>
      <c r="Q242" s="2">
        <v>161.87</v>
      </c>
    </row>
    <row r="243" spans="1:17" x14ac:dyDescent="0.25">
      <c r="A243" t="s">
        <v>30</v>
      </c>
      <c r="B243" t="s">
        <v>31</v>
      </c>
      <c r="C243" t="s">
        <v>67</v>
      </c>
      <c r="D243" t="s">
        <v>68</v>
      </c>
      <c r="E243">
        <v>1</v>
      </c>
      <c r="F243">
        <v>24</v>
      </c>
      <c r="G243" s="5">
        <v>43.632</v>
      </c>
      <c r="H243" s="5">
        <v>3.039</v>
      </c>
      <c r="J243" s="5">
        <v>43.632</v>
      </c>
      <c r="K243" s="5">
        <v>43.63</v>
      </c>
      <c r="L243" s="5">
        <v>4.5</v>
      </c>
      <c r="M243" s="5">
        <v>4.5</v>
      </c>
      <c r="N243" t="s">
        <v>51</v>
      </c>
      <c r="O243" t="s">
        <v>52</v>
      </c>
      <c r="P243" s="2">
        <v>9.16</v>
      </c>
      <c r="Q243" s="2">
        <v>52.79</v>
      </c>
    </row>
    <row r="244" spans="1:17" x14ac:dyDescent="0.25">
      <c r="A244" t="s">
        <v>30</v>
      </c>
      <c r="B244" t="s">
        <v>31</v>
      </c>
      <c r="C244" t="s">
        <v>63</v>
      </c>
      <c r="D244" t="s">
        <v>64</v>
      </c>
      <c r="E244">
        <v>1</v>
      </c>
      <c r="F244">
        <v>24</v>
      </c>
      <c r="G244" s="5">
        <v>23.16</v>
      </c>
      <c r="H244" s="5">
        <v>1.613</v>
      </c>
      <c r="J244" s="5">
        <v>23.16</v>
      </c>
      <c r="K244" s="5">
        <v>23.16</v>
      </c>
      <c r="L244" s="5">
        <v>4.5</v>
      </c>
      <c r="M244" s="5">
        <v>4.5</v>
      </c>
      <c r="N244" t="s">
        <v>51</v>
      </c>
      <c r="O244" t="s">
        <v>52</v>
      </c>
      <c r="P244" s="2">
        <v>4.86</v>
      </c>
      <c r="Q244" s="2">
        <v>28.02</v>
      </c>
    </row>
    <row r="245" spans="1:17" x14ac:dyDescent="0.25">
      <c r="A245" t="s">
        <v>30</v>
      </c>
      <c r="B245" t="s">
        <v>31</v>
      </c>
      <c r="C245" t="s">
        <v>71</v>
      </c>
      <c r="D245" t="s">
        <v>72</v>
      </c>
      <c r="E245">
        <v>1</v>
      </c>
      <c r="F245">
        <v>24</v>
      </c>
      <c r="G245" s="5">
        <v>35.472</v>
      </c>
      <c r="H245" s="5">
        <v>2.764</v>
      </c>
      <c r="J245" s="5">
        <v>35.472</v>
      </c>
      <c r="K245" s="5">
        <v>35.47</v>
      </c>
      <c r="L245" s="5">
        <v>4.5</v>
      </c>
      <c r="M245" s="5">
        <v>4.5</v>
      </c>
      <c r="N245" t="s">
        <v>51</v>
      </c>
      <c r="O245" t="s">
        <v>52</v>
      </c>
      <c r="P245" s="2">
        <v>7.45</v>
      </c>
      <c r="Q245" s="2">
        <v>42.92</v>
      </c>
    </row>
    <row r="246" spans="1:17" x14ac:dyDescent="0.25">
      <c r="A246" t="s">
        <v>30</v>
      </c>
      <c r="B246" t="s">
        <v>31</v>
      </c>
      <c r="C246" t="s">
        <v>247</v>
      </c>
      <c r="D246" t="s">
        <v>248</v>
      </c>
      <c r="E246">
        <v>1</v>
      </c>
      <c r="F246">
        <v>24</v>
      </c>
      <c r="G246" s="5">
        <v>23.112</v>
      </c>
      <c r="H246" s="5">
        <v>1.316</v>
      </c>
      <c r="J246" s="5">
        <v>23.112</v>
      </c>
      <c r="K246" s="5">
        <v>23.11</v>
      </c>
      <c r="L246" s="5">
        <v>4.5</v>
      </c>
      <c r="M246" s="5">
        <v>4.5</v>
      </c>
      <c r="N246" t="s">
        <v>97</v>
      </c>
      <c r="O246" t="s">
        <v>52</v>
      </c>
      <c r="P246" s="2">
        <v>1.39</v>
      </c>
      <c r="Q246" s="2">
        <v>24.5</v>
      </c>
    </row>
    <row r="247" spans="1:17" x14ac:dyDescent="0.25">
      <c r="A247" t="s">
        <v>30</v>
      </c>
      <c r="B247" t="s">
        <v>31</v>
      </c>
      <c r="C247" t="s">
        <v>126</v>
      </c>
      <c r="D247" t="s">
        <v>127</v>
      </c>
      <c r="E247">
        <v>1</v>
      </c>
      <c r="F247">
        <v>24</v>
      </c>
      <c r="G247" s="5">
        <v>16.776</v>
      </c>
      <c r="H247" s="5">
        <v>0.708</v>
      </c>
      <c r="J247" s="5">
        <v>16.776</v>
      </c>
      <c r="K247" s="5">
        <v>16.78</v>
      </c>
      <c r="L247" s="5">
        <v>5</v>
      </c>
      <c r="M247" s="5">
        <v>5</v>
      </c>
      <c r="N247" t="s">
        <v>97</v>
      </c>
      <c r="O247" t="s">
        <v>52</v>
      </c>
      <c r="P247" s="2">
        <v>1.01</v>
      </c>
      <c r="Q247" s="2">
        <v>17.79</v>
      </c>
    </row>
    <row r="248" spans="1:17" x14ac:dyDescent="0.25">
      <c r="A248" t="s">
        <v>30</v>
      </c>
      <c r="B248" t="s">
        <v>31</v>
      </c>
      <c r="C248" t="s">
        <v>116</v>
      </c>
      <c r="D248" t="s">
        <v>117</v>
      </c>
      <c r="E248">
        <v>1</v>
      </c>
      <c r="F248">
        <v>24</v>
      </c>
      <c r="G248" s="5">
        <v>19.032</v>
      </c>
      <c r="H248" s="5">
        <v>0.135</v>
      </c>
      <c r="J248" s="5">
        <v>19.032</v>
      </c>
      <c r="K248" s="5">
        <v>19.03</v>
      </c>
      <c r="L248" s="5">
        <v>4.5</v>
      </c>
      <c r="M248" s="5">
        <v>4.5</v>
      </c>
      <c r="N248" t="s">
        <v>97</v>
      </c>
      <c r="O248" t="s">
        <v>52</v>
      </c>
      <c r="P248" s="2">
        <v>1.14</v>
      </c>
      <c r="Q248" s="2">
        <v>20.17</v>
      </c>
    </row>
    <row r="249" spans="1:17" x14ac:dyDescent="0.25">
      <c r="A249" t="s">
        <v>30</v>
      </c>
      <c r="B249" t="s">
        <v>31</v>
      </c>
      <c r="C249" t="s">
        <v>195</v>
      </c>
      <c r="D249" t="s">
        <v>196</v>
      </c>
      <c r="G249" s="5"/>
      <c r="H249" s="5"/>
      <c r="J249" s="5"/>
      <c r="K249" s="5"/>
      <c r="L249" s="5">
        <v>30</v>
      </c>
      <c r="M249" s="5">
        <v>-60</v>
      </c>
      <c r="N249" t="s">
        <v>33</v>
      </c>
      <c r="O249" t="s">
        <v>197</v>
      </c>
      <c r="P249" s="2"/>
      <c r="Q249" s="2"/>
    </row>
    <row r="250" spans="1:17" x14ac:dyDescent="0.25">
      <c r="A250" t="s">
        <v>30</v>
      </c>
      <c r="B250" t="s">
        <v>31</v>
      </c>
      <c r="C250" t="s">
        <v>183</v>
      </c>
      <c r="D250" t="s">
        <v>184</v>
      </c>
      <c r="G250" s="5"/>
      <c r="H250" s="5"/>
      <c r="J250" s="5"/>
      <c r="K250" s="5"/>
      <c r="L250" s="5">
        <v>60</v>
      </c>
      <c r="M250" s="5">
        <v>-120</v>
      </c>
      <c r="N250" t="s">
        <v>33</v>
      </c>
      <c r="O250" t="s">
        <v>185</v>
      </c>
      <c r="P250" s="2"/>
      <c r="Q250" s="2"/>
    </row>
    <row r="251" spans="1:17" x14ac:dyDescent="0.25">
      <c r="A251" t="s">
        <v>30</v>
      </c>
      <c r="B251" t="s">
        <v>31</v>
      </c>
      <c r="C251" t="s">
        <v>222</v>
      </c>
      <c r="D251" t="s">
        <v>223</v>
      </c>
      <c r="G251" s="5"/>
      <c r="H251" s="5"/>
      <c r="J251" s="5"/>
      <c r="K251" s="5"/>
      <c r="L251" s="5">
        <v>7.5</v>
      </c>
      <c r="M251" s="5">
        <v>-30</v>
      </c>
      <c r="N251" t="s">
        <v>33</v>
      </c>
      <c r="O251" t="s">
        <v>197</v>
      </c>
      <c r="P251" s="2"/>
      <c r="Q251" s="2"/>
    </row>
    <row r="252" spans="1:17" x14ac:dyDescent="0.25">
      <c r="A252" t="s">
        <v>30</v>
      </c>
      <c r="B252" t="s">
        <v>31</v>
      </c>
      <c r="C252" t="s">
        <v>198</v>
      </c>
      <c r="D252" t="s">
        <v>199</v>
      </c>
      <c r="G252" s="5"/>
      <c r="H252" s="5"/>
      <c r="J252" s="5"/>
      <c r="K252" s="5"/>
      <c r="L252" s="5">
        <v>5</v>
      </c>
      <c r="M252" s="5">
        <v>-5</v>
      </c>
      <c r="N252" t="s">
        <v>33</v>
      </c>
      <c r="O252" t="s">
        <v>197</v>
      </c>
      <c r="P252" s="2"/>
      <c r="Q252" s="2"/>
    </row>
    <row r="253" spans="1:17" x14ac:dyDescent="0.25">
      <c r="A253" t="s">
        <v>30</v>
      </c>
      <c r="B253" t="s">
        <v>31</v>
      </c>
      <c r="C253" t="s">
        <v>202</v>
      </c>
      <c r="D253" t="s">
        <v>203</v>
      </c>
      <c r="G253" s="5"/>
      <c r="H253" s="5"/>
      <c r="J253" s="5"/>
      <c r="K253" s="5"/>
      <c r="L253" s="5">
        <v>4.5</v>
      </c>
      <c r="M253" s="5">
        <v>-36</v>
      </c>
      <c r="N253" t="s">
        <v>33</v>
      </c>
      <c r="O253" t="s">
        <v>197</v>
      </c>
      <c r="P253" s="2"/>
      <c r="Q253" s="2"/>
    </row>
    <row r="255" spans="1:17" x14ac:dyDescent="0.25">
      <c r="A255" s="3" t="s">
        <v>32</v>
      </c>
      <c r="B255" s="3" t="s">
        <v>33</v>
      </c>
      <c r="C255" s="3" t="s">
        <v>33</v>
      </c>
      <c r="D255" s="3" t="s">
        <v>33</v>
      </c>
      <c r="E255" s="3" t="s">
        <v>33</v>
      </c>
      <c r="F255" s="3" t="s">
        <v>33</v>
      </c>
      <c r="G255" s="3" t="s">
        <v>33</v>
      </c>
      <c r="H255" s="3" t="s">
        <v>33</v>
      </c>
      <c r="I255" s="3" t="s">
        <v>33</v>
      </c>
      <c r="J255" s="3" t="s">
        <v>33</v>
      </c>
      <c r="K255" s="4">
        <v>7059.05</v>
      </c>
      <c r="L255" s="3" t="s">
        <v>33</v>
      </c>
      <c r="M255" s="4">
        <v>881.56</v>
      </c>
      <c r="N255" s="3" t="s">
        <v>33</v>
      </c>
      <c r="O255" s="3" t="s">
        <v>33</v>
      </c>
      <c r="P255" s="4">
        <v>1260.3700000000006</v>
      </c>
      <c r="Q255" s="4">
        <v>8319.42</v>
      </c>
    </row>
    <row r="256" spans="1:17" x14ac:dyDescent="0.25">
      <c r="A256" s="7" t="s">
        <v>249</v>
      </c>
      <c r="B256" s="7" t="s">
        <v>33</v>
      </c>
      <c r="C256" s="7" t="s">
        <v>33</v>
      </c>
      <c r="D256" s="7" t="s">
        <v>33</v>
      </c>
      <c r="E256" s="7" t="s">
        <v>33</v>
      </c>
      <c r="F256" s="7" t="s">
        <v>33</v>
      </c>
      <c r="G256" s="7" t="s">
        <v>33</v>
      </c>
      <c r="H256" s="7" t="s">
        <v>33</v>
      </c>
      <c r="I256" s="7" t="s">
        <v>33</v>
      </c>
      <c r="J256" s="7" t="s">
        <v>33</v>
      </c>
      <c r="K256" s="7" t="s">
        <v>250</v>
      </c>
      <c r="L256" s="7" t="s">
        <v>33</v>
      </c>
      <c r="M256" s="7" t="s">
        <v>33</v>
      </c>
      <c r="N256" s="7" t="s">
        <v>33</v>
      </c>
      <c r="O256" s="7" t="s">
        <v>251</v>
      </c>
      <c r="P256" s="7" t="s">
        <v>33</v>
      </c>
      <c r="Q256" s="7" t="s">
        <v>252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FormatPr defaultRowHeight="15" outlineLevelRow="0" outlineLevelCol="0" x14ac:dyDescent="55"/>
  <cols>
    <col min="1" max="1" width="14" customWidth="1"/>
    <col min="2" max="2" width="50" customWidth="1"/>
    <col min="3" max="3" width="8" customWidth="1"/>
    <col min="4" max="4" width="12" customWidth="1"/>
    <col min="5" max="6" width="14" customWidth="1"/>
  </cols>
  <sheetData>
    <row r="1" spans="1:6" x14ac:dyDescent="0.25">
      <c r="A1" s="1" t="s">
        <v>34</v>
      </c>
      <c r="B1" s="1" t="s">
        <v>35</v>
      </c>
      <c r="C1" s="1" t="s">
        <v>45</v>
      </c>
      <c r="D1" s="1" t="s">
        <v>37</v>
      </c>
      <c r="E1" s="1" t="s">
        <v>42</v>
      </c>
      <c r="F1" s="1" t="s">
        <v>253</v>
      </c>
    </row>
    <row r="2" spans="1:6" x14ac:dyDescent="0.25">
      <c r="A2" t="s">
        <v>53</v>
      </c>
      <c r="B2" t="s">
        <v>54</v>
      </c>
      <c r="C2" t="s">
        <v>51</v>
      </c>
      <c r="D2">
        <v>23</v>
      </c>
      <c r="E2" s="2">
        <v>1543.3</v>
      </c>
      <c r="F2" s="2">
        <v>67.098</v>
      </c>
    </row>
    <row r="3" spans="1:6" x14ac:dyDescent="0.25">
      <c r="A3" t="s">
        <v>55</v>
      </c>
      <c r="B3" t="s">
        <v>56</v>
      </c>
      <c r="C3" t="s">
        <v>51</v>
      </c>
      <c r="D3">
        <v>15</v>
      </c>
      <c r="E3" s="2">
        <v>1269.92</v>
      </c>
      <c r="F3" s="2">
        <v>84.662</v>
      </c>
    </row>
    <row r="4" spans="1:6" x14ac:dyDescent="0.25">
      <c r="A4" t="s">
        <v>186</v>
      </c>
      <c r="B4" t="s">
        <v>207</v>
      </c>
      <c r="C4" t="s">
        <v>51</v>
      </c>
      <c r="D4">
        <v>410</v>
      </c>
      <c r="E4" s="2">
        <v>633.94</v>
      </c>
      <c r="F4" s="2">
        <v>44.592</v>
      </c>
    </row>
    <row r="5" spans="1:6" x14ac:dyDescent="0.25">
      <c r="A5" t="s">
        <v>148</v>
      </c>
      <c r="B5" t="s">
        <v>149</v>
      </c>
      <c r="C5" t="s">
        <v>97</v>
      </c>
      <c r="D5">
        <v>432</v>
      </c>
      <c r="E5" s="2">
        <v>417.31</v>
      </c>
      <c r="F5" s="2">
        <v>23.184</v>
      </c>
    </row>
    <row r="6" spans="1:6" x14ac:dyDescent="0.25">
      <c r="A6" t="s">
        <v>71</v>
      </c>
      <c r="B6" t="s">
        <v>211</v>
      </c>
      <c r="C6" t="s">
        <v>51</v>
      </c>
      <c r="D6">
        <v>263</v>
      </c>
      <c r="E6" s="2">
        <v>354.71</v>
      </c>
      <c r="F6" s="2">
        <v>35.472</v>
      </c>
    </row>
    <row r="7" spans="1:6" x14ac:dyDescent="0.25">
      <c r="A7" t="s">
        <v>77</v>
      </c>
      <c r="B7" t="s">
        <v>208</v>
      </c>
      <c r="C7" t="s">
        <v>51</v>
      </c>
      <c r="D7">
        <v>226</v>
      </c>
      <c r="E7" s="2">
        <v>245.33</v>
      </c>
      <c r="F7" s="2">
        <v>32.711</v>
      </c>
    </row>
    <row r="8" spans="1:6" x14ac:dyDescent="0.25">
      <c r="A8" t="s">
        <v>67</v>
      </c>
      <c r="B8" t="s">
        <v>68</v>
      </c>
      <c r="C8" t="s">
        <v>51</v>
      </c>
      <c r="D8">
        <v>96</v>
      </c>
      <c r="E8" s="2">
        <v>174.52</v>
      </c>
      <c r="F8" s="2">
        <v>43.632</v>
      </c>
    </row>
    <row r="9" spans="1:6" x14ac:dyDescent="0.25">
      <c r="A9" t="s">
        <v>81</v>
      </c>
      <c r="B9" t="s">
        <v>210</v>
      </c>
      <c r="C9" t="s">
        <v>51</v>
      </c>
      <c r="D9">
        <v>143</v>
      </c>
      <c r="E9" s="2">
        <v>174</v>
      </c>
      <c r="F9" s="2">
        <v>34.8</v>
      </c>
    </row>
    <row r="10" spans="1:6" x14ac:dyDescent="0.25">
      <c r="A10" t="s">
        <v>69</v>
      </c>
      <c r="B10" t="s">
        <v>212</v>
      </c>
      <c r="C10" t="s">
        <v>51</v>
      </c>
      <c r="D10">
        <v>119</v>
      </c>
      <c r="E10" s="2">
        <v>173.36</v>
      </c>
      <c r="F10" s="2">
        <v>43.344</v>
      </c>
    </row>
    <row r="11" spans="1:6" x14ac:dyDescent="0.25">
      <c r="A11" t="s">
        <v>120</v>
      </c>
      <c r="B11" t="s">
        <v>206</v>
      </c>
      <c r="C11" t="s">
        <v>97</v>
      </c>
      <c r="D11">
        <v>262</v>
      </c>
      <c r="E11" s="2">
        <v>149.26</v>
      </c>
      <c r="F11" s="2">
        <v>16.584</v>
      </c>
    </row>
    <row r="12" spans="1:6" x14ac:dyDescent="0.25">
      <c r="A12" t="s">
        <v>73</v>
      </c>
      <c r="B12" t="s">
        <v>209</v>
      </c>
      <c r="C12" t="s">
        <v>51</v>
      </c>
      <c r="D12">
        <v>117</v>
      </c>
      <c r="E12" s="2">
        <v>147.3</v>
      </c>
      <c r="F12" s="2">
        <v>37.608</v>
      </c>
    </row>
    <row r="13" spans="1:6" x14ac:dyDescent="0.25">
      <c r="A13" t="s">
        <v>218</v>
      </c>
      <c r="B13" t="s">
        <v>219</v>
      </c>
      <c r="C13" t="s">
        <v>51</v>
      </c>
      <c r="D13">
        <v>82</v>
      </c>
      <c r="E13" s="2">
        <v>142.19</v>
      </c>
      <c r="F13" s="2">
        <v>41.421</v>
      </c>
    </row>
    <row r="14" spans="1:6" x14ac:dyDescent="0.25">
      <c r="A14" t="s">
        <v>61</v>
      </c>
      <c r="B14" t="s">
        <v>240</v>
      </c>
      <c r="C14" t="s">
        <v>51</v>
      </c>
      <c r="D14">
        <v>83</v>
      </c>
      <c r="E14" s="2">
        <v>129.31</v>
      </c>
      <c r="F14" s="2">
        <v>21.554</v>
      </c>
    </row>
    <row r="15" spans="1:6" x14ac:dyDescent="0.25">
      <c r="A15" t="s">
        <v>63</v>
      </c>
      <c r="B15" t="s">
        <v>213</v>
      </c>
      <c r="C15" t="s">
        <v>51</v>
      </c>
      <c r="D15">
        <v>189</v>
      </c>
      <c r="E15" s="2">
        <v>111.57</v>
      </c>
      <c r="F15" s="2">
        <v>23.16</v>
      </c>
    </row>
    <row r="16" spans="1:6" x14ac:dyDescent="0.25">
      <c r="A16" t="s">
        <v>136</v>
      </c>
      <c r="B16" t="s">
        <v>137</v>
      </c>
      <c r="C16" t="s">
        <v>97</v>
      </c>
      <c r="D16">
        <v>16</v>
      </c>
      <c r="E16" s="2">
        <v>108.96</v>
      </c>
      <c r="F16" s="2">
        <v>13.62</v>
      </c>
    </row>
    <row r="17" spans="1:6" x14ac:dyDescent="0.25">
      <c r="A17" t="s">
        <v>138</v>
      </c>
      <c r="B17" t="s">
        <v>139</v>
      </c>
      <c r="C17" t="s">
        <v>51</v>
      </c>
      <c r="D17">
        <v>6</v>
      </c>
      <c r="E17" s="2">
        <v>108.19</v>
      </c>
      <c r="F17" s="2">
        <v>18.032</v>
      </c>
    </row>
    <row r="18" spans="1:6" x14ac:dyDescent="0.25">
      <c r="A18" t="s">
        <v>116</v>
      </c>
      <c r="B18" t="s">
        <v>239</v>
      </c>
      <c r="C18" t="s">
        <v>97</v>
      </c>
      <c r="D18">
        <v>153</v>
      </c>
      <c r="E18" s="2">
        <v>101.99</v>
      </c>
      <c r="F18" s="2">
        <v>19.032</v>
      </c>
    </row>
    <row r="19" spans="1:6" x14ac:dyDescent="0.25">
      <c r="A19" t="s">
        <v>49</v>
      </c>
      <c r="B19" t="s">
        <v>50</v>
      </c>
      <c r="C19" t="s">
        <v>51</v>
      </c>
      <c r="D19">
        <v>2</v>
      </c>
      <c r="E19" s="2">
        <v>99.34</v>
      </c>
      <c r="F19" s="2">
        <v>49.672</v>
      </c>
    </row>
    <row r="20" spans="1:6" x14ac:dyDescent="0.25">
      <c r="A20" t="s">
        <v>122</v>
      </c>
      <c r="B20" t="s">
        <v>123</v>
      </c>
      <c r="C20" t="s">
        <v>97</v>
      </c>
      <c r="D20">
        <v>144</v>
      </c>
      <c r="E20" s="2">
        <v>98.06</v>
      </c>
      <c r="F20" s="2">
        <v>16.584</v>
      </c>
    </row>
    <row r="21" spans="1:6" x14ac:dyDescent="0.25">
      <c r="A21" t="s">
        <v>132</v>
      </c>
      <c r="B21" t="s">
        <v>133</v>
      </c>
      <c r="C21" t="s">
        <v>97</v>
      </c>
      <c r="D21">
        <v>12</v>
      </c>
      <c r="E21" s="2">
        <v>81.72</v>
      </c>
      <c r="F21" s="2">
        <v>13.62</v>
      </c>
    </row>
    <row r="22" spans="1:6" x14ac:dyDescent="0.25">
      <c r="A22" t="s">
        <v>130</v>
      </c>
      <c r="B22" t="s">
        <v>131</v>
      </c>
      <c r="C22" t="s">
        <v>97</v>
      </c>
      <c r="D22">
        <v>12</v>
      </c>
      <c r="E22" s="2">
        <v>81.72</v>
      </c>
      <c r="F22" s="2">
        <v>13.62</v>
      </c>
    </row>
    <row r="23" spans="1:6" x14ac:dyDescent="0.25">
      <c r="A23" t="s">
        <v>114</v>
      </c>
      <c r="B23" t="s">
        <v>115</v>
      </c>
      <c r="C23" t="s">
        <v>97</v>
      </c>
      <c r="D23">
        <v>72</v>
      </c>
      <c r="E23" s="2">
        <v>52.05</v>
      </c>
      <c r="F23" s="2">
        <v>17.352</v>
      </c>
    </row>
    <row r="24" spans="1:6" x14ac:dyDescent="0.25">
      <c r="A24" t="s">
        <v>140</v>
      </c>
      <c r="B24" t="s">
        <v>141</v>
      </c>
      <c r="C24" t="s">
        <v>51</v>
      </c>
      <c r="D24">
        <v>4</v>
      </c>
      <c r="E24" s="2">
        <v>52.02</v>
      </c>
      <c r="F24" s="2">
        <v>13.005</v>
      </c>
    </row>
    <row r="25" spans="1:6" x14ac:dyDescent="0.25">
      <c r="A25" t="s">
        <v>126</v>
      </c>
      <c r="B25" t="s">
        <v>127</v>
      </c>
      <c r="C25" t="s">
        <v>97</v>
      </c>
      <c r="D25">
        <v>72</v>
      </c>
      <c r="E25" s="2">
        <v>50.34</v>
      </c>
      <c r="F25" s="2">
        <v>16.776</v>
      </c>
    </row>
    <row r="26" spans="1:6" x14ac:dyDescent="0.25">
      <c r="A26" t="s">
        <v>220</v>
      </c>
      <c r="B26" t="s">
        <v>221</v>
      </c>
      <c r="C26" t="s">
        <v>97</v>
      </c>
      <c r="D26">
        <v>18</v>
      </c>
      <c r="E26" s="2">
        <v>47.79</v>
      </c>
      <c r="F26" s="2">
        <v>15.93</v>
      </c>
    </row>
    <row r="27" spans="1:6" x14ac:dyDescent="0.25">
      <c r="A27" t="s">
        <v>75</v>
      </c>
      <c r="B27" t="s">
        <v>76</v>
      </c>
      <c r="C27" t="s">
        <v>51</v>
      </c>
      <c r="D27">
        <v>24</v>
      </c>
      <c r="E27" s="2">
        <v>38.66</v>
      </c>
      <c r="F27" s="2">
        <v>38.663</v>
      </c>
    </row>
    <row r="28" spans="1:6" x14ac:dyDescent="0.25">
      <c r="A28" t="s">
        <v>100</v>
      </c>
      <c r="B28" t="s">
        <v>214</v>
      </c>
      <c r="C28" t="s">
        <v>97</v>
      </c>
      <c r="D28">
        <v>139</v>
      </c>
      <c r="E28" s="2">
        <v>37.07</v>
      </c>
      <c r="F28" s="2">
        <v>12.684</v>
      </c>
    </row>
    <row r="29" spans="1:6" x14ac:dyDescent="0.25">
      <c r="A29" t="s">
        <v>142</v>
      </c>
      <c r="B29" t="s">
        <v>143</v>
      </c>
      <c r="C29" t="s">
        <v>51</v>
      </c>
      <c r="D29">
        <v>6</v>
      </c>
      <c r="E29" s="2">
        <v>35.78</v>
      </c>
      <c r="F29" s="2">
        <v>5.963</v>
      </c>
    </row>
    <row r="30" spans="1:6" x14ac:dyDescent="0.25">
      <c r="A30" t="s">
        <v>146</v>
      </c>
      <c r="B30" t="s">
        <v>147</v>
      </c>
      <c r="C30" t="s">
        <v>51</v>
      </c>
      <c r="D30">
        <v>6</v>
      </c>
      <c r="E30" s="2">
        <v>35.78</v>
      </c>
      <c r="F30" s="2">
        <v>5.963</v>
      </c>
    </row>
    <row r="31" spans="1:6" x14ac:dyDescent="0.25">
      <c r="A31" t="s">
        <v>144</v>
      </c>
      <c r="B31" t="s">
        <v>145</v>
      </c>
      <c r="C31" t="s">
        <v>51</v>
      </c>
      <c r="D31">
        <v>6</v>
      </c>
      <c r="E31" s="2">
        <v>35.78</v>
      </c>
      <c r="F31" s="2">
        <v>5.963</v>
      </c>
    </row>
    <row r="32" spans="1:6" x14ac:dyDescent="0.25">
      <c r="A32" t="s">
        <v>83</v>
      </c>
      <c r="B32" t="s">
        <v>84</v>
      </c>
      <c r="C32" t="s">
        <v>51</v>
      </c>
      <c r="D32">
        <v>24</v>
      </c>
      <c r="E32" s="2">
        <v>30.53</v>
      </c>
      <c r="F32" s="2">
        <v>30.528</v>
      </c>
    </row>
    <row r="33" spans="1:6" x14ac:dyDescent="0.25">
      <c r="A33" t="s">
        <v>98</v>
      </c>
      <c r="B33" t="s">
        <v>99</v>
      </c>
      <c r="C33" t="s">
        <v>97</v>
      </c>
      <c r="D33">
        <v>84</v>
      </c>
      <c r="E33" s="2">
        <v>27.81</v>
      </c>
      <c r="F33" s="2">
        <v>9.268</v>
      </c>
    </row>
    <row r="34" spans="1:6" x14ac:dyDescent="0.25">
      <c r="A34" t="s">
        <v>65</v>
      </c>
      <c r="B34" t="s">
        <v>66</v>
      </c>
      <c r="C34" t="s">
        <v>51</v>
      </c>
      <c r="D34">
        <v>24</v>
      </c>
      <c r="E34" s="2">
        <v>26.88</v>
      </c>
      <c r="F34" s="2">
        <v>26.88</v>
      </c>
    </row>
    <row r="35" spans="1:6" x14ac:dyDescent="0.25">
      <c r="A35" t="s">
        <v>247</v>
      </c>
      <c r="B35" t="s">
        <v>248</v>
      </c>
      <c r="C35" t="s">
        <v>97</v>
      </c>
      <c r="D35">
        <v>24</v>
      </c>
      <c r="E35" s="2">
        <v>23.11</v>
      </c>
      <c r="F35" s="2">
        <v>23.112</v>
      </c>
    </row>
    <row r="36" spans="1:6" x14ac:dyDescent="0.25">
      <c r="A36" t="s">
        <v>233</v>
      </c>
      <c r="B36" t="s">
        <v>234</v>
      </c>
      <c r="C36" t="s">
        <v>97</v>
      </c>
      <c r="D36">
        <v>24</v>
      </c>
      <c r="E36" s="2">
        <v>20.47</v>
      </c>
      <c r="F36" s="2">
        <v>20.472</v>
      </c>
    </row>
    <row r="37" spans="1:6" x14ac:dyDescent="0.25">
      <c r="A37" t="s">
        <v>231</v>
      </c>
      <c r="B37" t="s">
        <v>232</v>
      </c>
      <c r="C37" t="s">
        <v>97</v>
      </c>
      <c r="D37">
        <v>24</v>
      </c>
      <c r="E37" s="2">
        <v>20.16</v>
      </c>
      <c r="F37" s="2">
        <v>20.16</v>
      </c>
    </row>
    <row r="38" spans="1:6" x14ac:dyDescent="0.25">
      <c r="A38" t="s">
        <v>235</v>
      </c>
      <c r="B38" t="s">
        <v>236</v>
      </c>
      <c r="C38" t="s">
        <v>97</v>
      </c>
      <c r="D38">
        <v>24</v>
      </c>
      <c r="E38" s="2">
        <v>20.16</v>
      </c>
      <c r="F38" s="2">
        <v>20.16</v>
      </c>
    </row>
    <row r="39" spans="1:6" x14ac:dyDescent="0.25">
      <c r="A39" t="s">
        <v>134</v>
      </c>
      <c r="B39" t="s">
        <v>135</v>
      </c>
      <c r="C39" t="s">
        <v>97</v>
      </c>
      <c r="D39">
        <v>2</v>
      </c>
      <c r="E39" s="2">
        <v>19.1</v>
      </c>
      <c r="F39" s="2">
        <v>19.1</v>
      </c>
    </row>
    <row r="40" spans="1:6" x14ac:dyDescent="0.25">
      <c r="A40" t="s">
        <v>95</v>
      </c>
      <c r="B40" t="s">
        <v>96</v>
      </c>
      <c r="C40" t="s">
        <v>97</v>
      </c>
      <c r="D40">
        <v>24</v>
      </c>
      <c r="E40" s="2">
        <v>18.43</v>
      </c>
      <c r="F40" s="2">
        <v>18.432</v>
      </c>
    </row>
    <row r="41" spans="1:6" x14ac:dyDescent="0.25">
      <c r="A41" t="s">
        <v>118</v>
      </c>
      <c r="B41" t="s">
        <v>119</v>
      </c>
      <c r="C41" t="s">
        <v>97</v>
      </c>
      <c r="D41">
        <v>24</v>
      </c>
      <c r="E41" s="2">
        <v>18.07</v>
      </c>
      <c r="F41" s="2">
        <v>18.072</v>
      </c>
    </row>
    <row r="42" spans="1:6" x14ac:dyDescent="0.25">
      <c r="A42" t="s">
        <v>112</v>
      </c>
      <c r="B42" t="s">
        <v>238</v>
      </c>
      <c r="C42" t="s">
        <v>97</v>
      </c>
      <c r="D42">
        <v>70</v>
      </c>
      <c r="E42" s="2">
        <v>17.35</v>
      </c>
      <c r="F42" s="2">
        <v>17.349</v>
      </c>
    </row>
    <row r="43" spans="1:6" x14ac:dyDescent="0.25">
      <c r="A43" t="s">
        <v>229</v>
      </c>
      <c r="B43" t="s">
        <v>230</v>
      </c>
      <c r="C43" t="s">
        <v>97</v>
      </c>
      <c r="D43">
        <v>24</v>
      </c>
      <c r="E43" s="2">
        <v>17.35</v>
      </c>
      <c r="F43" s="2">
        <v>17.352</v>
      </c>
    </row>
    <row r="44" spans="1:6" x14ac:dyDescent="0.25">
      <c r="A44" t="s">
        <v>124</v>
      </c>
      <c r="B44" t="s">
        <v>244</v>
      </c>
      <c r="C44" t="s">
        <v>97</v>
      </c>
      <c r="D44">
        <v>47</v>
      </c>
      <c r="E44" s="2">
        <v>16.78</v>
      </c>
      <c r="F44" s="2">
        <v>16.774</v>
      </c>
    </row>
    <row r="45" spans="1:6" x14ac:dyDescent="0.25">
      <c r="A45" t="s">
        <v>192</v>
      </c>
      <c r="B45" t="s">
        <v>217</v>
      </c>
      <c r="C45" t="s">
        <v>97</v>
      </c>
      <c r="D45">
        <v>11</v>
      </c>
      <c r="E45" s="2">
        <v>15.75</v>
      </c>
      <c r="F45" s="2">
        <v>18.126</v>
      </c>
    </row>
    <row r="46" spans="1:6" x14ac:dyDescent="0.25">
      <c r="A46" t="s">
        <v>150</v>
      </c>
      <c r="B46" t="s">
        <v>151</v>
      </c>
      <c r="C46" t="s">
        <v>51</v>
      </c>
      <c r="D46">
        <v>1</v>
      </c>
      <c r="E46" s="2">
        <v>11.13</v>
      </c>
      <c r="F46" s="2">
        <v>11.133</v>
      </c>
    </row>
    <row r="47" spans="1:6" x14ac:dyDescent="0.25">
      <c r="A47" t="s">
        <v>188</v>
      </c>
      <c r="B47" t="s">
        <v>215</v>
      </c>
      <c r="C47" t="s">
        <v>97</v>
      </c>
      <c r="D47">
        <v>11</v>
      </c>
      <c r="E47" s="2">
        <v>6.71</v>
      </c>
      <c r="F47" s="2">
        <v>9.342</v>
      </c>
    </row>
    <row r="48" spans="1:6" x14ac:dyDescent="0.25">
      <c r="A48" t="s">
        <v>190</v>
      </c>
      <c r="B48" t="s">
        <v>216</v>
      </c>
      <c r="C48" t="s">
        <v>97</v>
      </c>
      <c r="D48">
        <v>11</v>
      </c>
      <c r="E48" s="2">
        <v>6.71</v>
      </c>
      <c r="F48" s="2">
        <v>9.342</v>
      </c>
    </row>
    <row r="49" spans="1:6" x14ac:dyDescent="0.25">
      <c r="A49" t="s">
        <v>128</v>
      </c>
      <c r="B49" t="s">
        <v>129</v>
      </c>
      <c r="C49" t="s">
        <v>97</v>
      </c>
      <c r="D49">
        <v>1</v>
      </c>
      <c r="E49" s="2">
        <v>6.15</v>
      </c>
      <c r="F49" s="2">
        <v>6.149</v>
      </c>
    </row>
    <row r="50" spans="1:6" x14ac:dyDescent="0.25">
      <c r="A50" t="s">
        <v>226</v>
      </c>
      <c r="B50" t="s">
        <v>227</v>
      </c>
      <c r="C50" t="s">
        <v>51</v>
      </c>
      <c r="D50">
        <v>3</v>
      </c>
      <c r="E50" s="2">
        <v>5.55</v>
      </c>
      <c r="F50" s="2">
        <v>1.849</v>
      </c>
    </row>
    <row r="51" spans="1:6" x14ac:dyDescent="0.25">
      <c r="A51" t="s">
        <v>106</v>
      </c>
      <c r="B51" t="s">
        <v>243</v>
      </c>
      <c r="C51" t="s">
        <v>97</v>
      </c>
      <c r="D51">
        <v>23</v>
      </c>
      <c r="E51" s="2">
        <v>0.01</v>
      </c>
      <c r="F51" s="2">
        <v>22.292</v>
      </c>
    </row>
    <row r="52" spans="1:6" x14ac:dyDescent="0.25">
      <c r="A52" t="s">
        <v>91</v>
      </c>
      <c r="B52" t="s">
        <v>92</v>
      </c>
      <c r="C52" t="s">
        <v>33</v>
      </c>
      <c r="D52">
        <v>0</v>
      </c>
      <c r="E52" s="2">
        <v>0</v>
      </c>
      <c r="F52" s="2">
        <v>1.611</v>
      </c>
    </row>
    <row r="53" spans="1:6" x14ac:dyDescent="0.25">
      <c r="A53" t="s">
        <v>104</v>
      </c>
      <c r="B53" t="s">
        <v>242</v>
      </c>
      <c r="C53" t="s">
        <v>97</v>
      </c>
      <c r="D53">
        <v>23</v>
      </c>
      <c r="E53" s="2">
        <v>0</v>
      </c>
      <c r="F53" s="2">
        <v>24.887</v>
      </c>
    </row>
    <row r="54" spans="1:6" x14ac:dyDescent="0.25">
      <c r="A54" t="s">
        <v>108</v>
      </c>
      <c r="B54" t="s">
        <v>246</v>
      </c>
      <c r="C54" t="s">
        <v>97</v>
      </c>
      <c r="D54">
        <v>23</v>
      </c>
      <c r="E54" s="2">
        <v>0</v>
      </c>
      <c r="F54" s="2">
        <v>26.019</v>
      </c>
    </row>
    <row r="55" spans="1:6" x14ac:dyDescent="0.25">
      <c r="A55" t="s">
        <v>85</v>
      </c>
      <c r="B55" t="s">
        <v>86</v>
      </c>
      <c r="C55" t="s">
        <v>33</v>
      </c>
      <c r="D55">
        <v>0</v>
      </c>
      <c r="E55" s="2">
        <v>0</v>
      </c>
      <c r="F55" s="2">
        <v>1.724</v>
      </c>
    </row>
    <row r="56" spans="1:6" x14ac:dyDescent="0.25">
      <c r="A56" t="s">
        <v>79</v>
      </c>
      <c r="B56" t="s">
        <v>194</v>
      </c>
      <c r="C56" t="s">
        <v>51</v>
      </c>
      <c r="D56">
        <v>46</v>
      </c>
      <c r="E56" s="2">
        <v>0</v>
      </c>
      <c r="F56" s="2">
        <v>41.04</v>
      </c>
    </row>
    <row r="57" spans="1:6" x14ac:dyDescent="0.25">
      <c r="A57" t="s">
        <v>59</v>
      </c>
      <c r="B57" t="s">
        <v>224</v>
      </c>
      <c r="C57" t="s">
        <v>51</v>
      </c>
      <c r="D57">
        <v>23</v>
      </c>
      <c r="E57" s="2">
        <v>0</v>
      </c>
      <c r="F57" s="2">
        <v>24.36</v>
      </c>
    </row>
    <row r="58" spans="1:6" x14ac:dyDescent="0.25">
      <c r="A58" t="s">
        <v>110</v>
      </c>
      <c r="B58" t="s">
        <v>241</v>
      </c>
      <c r="C58" t="s">
        <v>97</v>
      </c>
      <c r="D58">
        <v>23</v>
      </c>
      <c r="E58" s="2">
        <v>0</v>
      </c>
      <c r="F58" s="2">
        <v>25.462</v>
      </c>
    </row>
    <row r="59" spans="1:6" x14ac:dyDescent="0.25">
      <c r="A59" t="s">
        <v>89</v>
      </c>
      <c r="B59" t="s">
        <v>90</v>
      </c>
      <c r="C59" t="s">
        <v>33</v>
      </c>
      <c r="D59">
        <v>0</v>
      </c>
      <c r="E59" s="2">
        <v>0</v>
      </c>
      <c r="F59" s="2">
        <v>1.47</v>
      </c>
    </row>
    <row r="60" spans="1:6" x14ac:dyDescent="0.25">
      <c r="A60" t="s">
        <v>102</v>
      </c>
      <c r="B60" t="s">
        <v>245</v>
      </c>
      <c r="C60" t="s">
        <v>97</v>
      </c>
      <c r="D60">
        <v>46</v>
      </c>
      <c r="E60" s="2">
        <v>0</v>
      </c>
      <c r="F60" s="2">
        <v>25.368</v>
      </c>
    </row>
    <row r="61" spans="1:6" x14ac:dyDescent="0.25">
      <c r="A61" t="s">
        <v>152</v>
      </c>
      <c r="B61" t="s">
        <v>153</v>
      </c>
      <c r="C61" t="s">
        <v>33</v>
      </c>
      <c r="D61">
        <v>0</v>
      </c>
      <c r="E61" s="2">
        <v>0</v>
      </c>
      <c r="F61" s="2">
        <v>1.26</v>
      </c>
    </row>
    <row r="62" spans="1:6" x14ac:dyDescent="0.25">
      <c r="A62" t="s">
        <v>164</v>
      </c>
      <c r="B62" t="s">
        <v>165</v>
      </c>
      <c r="C62" t="s">
        <v>33</v>
      </c>
      <c r="D62">
        <v>0</v>
      </c>
      <c r="E62" s="2">
        <v>0</v>
      </c>
      <c r="F62" s="2">
        <v>3.017</v>
      </c>
    </row>
    <row r="63" spans="1:6" x14ac:dyDescent="0.25">
      <c r="A63" t="s">
        <v>160</v>
      </c>
      <c r="B63" t="s">
        <v>161</v>
      </c>
      <c r="C63" t="s">
        <v>33</v>
      </c>
      <c r="D63">
        <v>0</v>
      </c>
      <c r="E63" s="2">
        <v>0</v>
      </c>
      <c r="F63" s="2">
        <v>2.479</v>
      </c>
    </row>
    <row r="64" spans="1:6" x14ac:dyDescent="0.25">
      <c r="A64" t="s">
        <v>156</v>
      </c>
      <c r="B64" t="s">
        <v>157</v>
      </c>
      <c r="C64" t="s">
        <v>33</v>
      </c>
      <c r="D64">
        <v>0</v>
      </c>
      <c r="E64" s="2">
        <v>0</v>
      </c>
      <c r="F64" s="2">
        <v>4.545</v>
      </c>
    </row>
    <row r="65" spans="1:6" x14ac:dyDescent="0.25">
      <c r="A65" t="s">
        <v>162</v>
      </c>
      <c r="B65" t="s">
        <v>163</v>
      </c>
      <c r="C65" t="s">
        <v>33</v>
      </c>
      <c r="D65">
        <v>0</v>
      </c>
      <c r="E65" s="2">
        <v>0</v>
      </c>
      <c r="F65" s="2">
        <v>3.306</v>
      </c>
    </row>
    <row r="66" spans="1:6" x14ac:dyDescent="0.25">
      <c r="A66" t="s">
        <v>168</v>
      </c>
      <c r="B66" t="s">
        <v>169</v>
      </c>
      <c r="C66" t="s">
        <v>33</v>
      </c>
      <c r="D66">
        <v>0</v>
      </c>
      <c r="E66" s="2">
        <v>0</v>
      </c>
      <c r="F66" s="2">
        <v>3</v>
      </c>
    </row>
    <row r="67" spans="1:6" x14ac:dyDescent="0.25">
      <c r="A67" t="s">
        <v>154</v>
      </c>
      <c r="B67" t="s">
        <v>155</v>
      </c>
      <c r="C67" t="s">
        <v>33</v>
      </c>
      <c r="D67">
        <v>0</v>
      </c>
      <c r="E67" s="2">
        <v>0</v>
      </c>
      <c r="F67" s="2">
        <v>2.893</v>
      </c>
    </row>
    <row r="68" spans="1:6" x14ac:dyDescent="0.25">
      <c r="A68" t="s">
        <v>176</v>
      </c>
      <c r="B68" t="s">
        <v>177</v>
      </c>
      <c r="C68" t="s">
        <v>33</v>
      </c>
      <c r="D68">
        <v>0</v>
      </c>
      <c r="E68" s="2">
        <v>0</v>
      </c>
      <c r="F68" s="2">
        <v>0.677</v>
      </c>
    </row>
    <row r="69" spans="1:6" x14ac:dyDescent="0.25">
      <c r="A69" t="s">
        <v>174</v>
      </c>
      <c r="B69" t="s">
        <v>175</v>
      </c>
      <c r="C69" t="s">
        <v>33</v>
      </c>
      <c r="D69">
        <v>0</v>
      </c>
      <c r="E69" s="2">
        <v>0</v>
      </c>
      <c r="F69" s="2">
        <v>0.826</v>
      </c>
    </row>
    <row r="70" spans="1:6" x14ac:dyDescent="0.25">
      <c r="A70" t="s">
        <v>181</v>
      </c>
      <c r="B70" t="s">
        <v>182</v>
      </c>
      <c r="C70" t="s">
        <v>33</v>
      </c>
      <c r="D70">
        <v>0</v>
      </c>
      <c r="E70" s="2">
        <v>0</v>
      </c>
      <c r="F70" s="2">
        <v>3.397</v>
      </c>
    </row>
    <row r="71" spans="1:6" x14ac:dyDescent="0.25">
      <c r="A71" t="s">
        <v>172</v>
      </c>
      <c r="B71" t="s">
        <v>173</v>
      </c>
      <c r="C71" t="s">
        <v>33</v>
      </c>
      <c r="D71">
        <v>0</v>
      </c>
      <c r="E71" s="2">
        <v>0</v>
      </c>
      <c r="F71" s="2">
        <v>0.826</v>
      </c>
    </row>
    <row r="72" spans="1:6" x14ac:dyDescent="0.25">
      <c r="A72" t="s">
        <v>170</v>
      </c>
      <c r="B72" t="s">
        <v>171</v>
      </c>
      <c r="C72" t="s">
        <v>33</v>
      </c>
      <c r="D72">
        <v>0</v>
      </c>
      <c r="E72" s="2">
        <v>0</v>
      </c>
      <c r="F72" s="2">
        <v>1.24</v>
      </c>
    </row>
    <row r="73" spans="1:6" x14ac:dyDescent="0.25">
      <c r="A73" t="s">
        <v>178</v>
      </c>
      <c r="B73" t="s">
        <v>179</v>
      </c>
      <c r="C73" t="s">
        <v>33</v>
      </c>
      <c r="D73">
        <v>0</v>
      </c>
      <c r="E73" s="2">
        <v>0</v>
      </c>
      <c r="F73" s="2">
        <v>1.56</v>
      </c>
    </row>
    <row r="74" spans="1:6" x14ac:dyDescent="0.25">
      <c r="A74" t="s">
        <v>166</v>
      </c>
      <c r="B74" t="s">
        <v>167</v>
      </c>
      <c r="C74" t="s">
        <v>33</v>
      </c>
      <c r="D74">
        <v>0</v>
      </c>
      <c r="E74" s="2">
        <v>0</v>
      </c>
      <c r="F74" s="2">
        <v>4.746</v>
      </c>
    </row>
    <row r="75" spans="1:6" x14ac:dyDescent="0.25">
      <c r="A75" t="s">
        <v>158</v>
      </c>
      <c r="B75" t="s">
        <v>159</v>
      </c>
      <c r="C75" t="s">
        <v>33</v>
      </c>
      <c r="D75">
        <v>0</v>
      </c>
      <c r="E75" s="2">
        <v>0</v>
      </c>
      <c r="F75" s="2">
        <v>4.545</v>
      </c>
    </row>
    <row r="76" spans="1:6" x14ac:dyDescent="0.25">
      <c r="A76" t="s">
        <v>93</v>
      </c>
      <c r="B76" t="s">
        <v>94</v>
      </c>
      <c r="C76" t="s">
        <v>33</v>
      </c>
      <c r="D76">
        <v>0</v>
      </c>
      <c r="E76" s="2">
        <v>0</v>
      </c>
      <c r="F76" s="2">
        <v>1.711</v>
      </c>
    </row>
    <row r="77" spans="1:6" x14ac:dyDescent="0.25">
      <c r="A77" t="s">
        <v>57</v>
      </c>
      <c r="B77" t="s">
        <v>58</v>
      </c>
      <c r="C77" t="s">
        <v>51</v>
      </c>
      <c r="D77">
        <v>1</v>
      </c>
      <c r="E77" s="2">
        <v>-0.43</v>
      </c>
      <c r="F77" s="2">
        <v>1.149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4" customWidth="1"/>
    <col min="2" max="2" width="12" customWidth="1"/>
    <col min="3" max="6" width="14" customWidth="1"/>
  </cols>
  <sheetData>
    <row r="1" spans="1:6" x14ac:dyDescent="0.25">
      <c r="A1" s="1" t="s">
        <v>0</v>
      </c>
      <c r="B1" s="1" t="s">
        <v>1</v>
      </c>
      <c r="C1" s="1" t="s">
        <v>254</v>
      </c>
      <c r="D1" s="1" t="s">
        <v>255</v>
      </c>
      <c r="E1" s="1" t="s">
        <v>256</v>
      </c>
      <c r="F1" s="1" t="s">
        <v>257</v>
      </c>
    </row>
    <row r="2" spans="1:6" x14ac:dyDescent="0.25">
      <c r="A2" t="s">
        <v>10</v>
      </c>
      <c r="B2" t="s">
        <v>11</v>
      </c>
      <c r="C2" s="2">
        <v>544.38</v>
      </c>
      <c r="D2" s="2">
        <v>0</v>
      </c>
      <c r="E2" s="2">
        <v>544.38</v>
      </c>
      <c r="F2" s="2">
        <v>2680.9</v>
      </c>
    </row>
    <row r="3" spans="1:6" x14ac:dyDescent="0.25">
      <c r="A3" t="s">
        <v>12</v>
      </c>
      <c r="B3" t="s">
        <v>13</v>
      </c>
      <c r="C3" s="2">
        <v>193.5</v>
      </c>
      <c r="D3" s="2">
        <v>-60</v>
      </c>
      <c r="E3" s="2">
        <v>133.5</v>
      </c>
      <c r="F3" s="2">
        <v>424.81</v>
      </c>
    </row>
    <row r="4" spans="1:6" x14ac:dyDescent="0.25">
      <c r="A4" t="s">
        <v>14</v>
      </c>
      <c r="B4" t="s">
        <v>15</v>
      </c>
      <c r="C4" s="2">
        <v>313.7</v>
      </c>
      <c r="D4" s="2">
        <v>0</v>
      </c>
      <c r="E4" s="2">
        <v>313.7</v>
      </c>
      <c r="F4" s="2">
        <v>1203.09</v>
      </c>
    </row>
    <row r="5" spans="1:6" x14ac:dyDescent="0.25">
      <c r="A5" t="s">
        <v>16</v>
      </c>
      <c r="B5" t="s">
        <v>17</v>
      </c>
      <c r="C5" s="2">
        <v>278.4</v>
      </c>
      <c r="D5" s="2">
        <v>-295.02</v>
      </c>
      <c r="E5" s="2">
        <v>-16.620000000000005</v>
      </c>
      <c r="F5" s="2">
        <v>774.45</v>
      </c>
    </row>
    <row r="6" spans="1:6" x14ac:dyDescent="0.25">
      <c r="A6" t="s">
        <v>18</v>
      </c>
      <c r="B6" t="s">
        <v>19</v>
      </c>
      <c r="C6" s="2">
        <v>0</v>
      </c>
      <c r="D6" s="2">
        <v>0</v>
      </c>
      <c r="E6" s="2">
        <v>0</v>
      </c>
      <c r="F6" s="2">
        <v>-54.61</v>
      </c>
    </row>
    <row r="7" spans="1:6" x14ac:dyDescent="0.25">
      <c r="A7" t="s">
        <v>20</v>
      </c>
      <c r="B7" t="s">
        <v>21</v>
      </c>
      <c r="C7" s="2">
        <v>192.8</v>
      </c>
      <c r="D7" s="2">
        <v>-247.5</v>
      </c>
      <c r="E7" s="2">
        <v>-54.69999999999999</v>
      </c>
      <c r="F7" s="2">
        <v>587.3</v>
      </c>
    </row>
    <row r="8" spans="1:6" x14ac:dyDescent="0.25">
      <c r="A8" t="s">
        <v>22</v>
      </c>
      <c r="B8" t="s">
        <v>23</v>
      </c>
      <c r="C8" s="2">
        <v>35</v>
      </c>
      <c r="D8" s="2">
        <v>0</v>
      </c>
      <c r="E8" s="2">
        <v>35</v>
      </c>
      <c r="F8" s="2">
        <v>345.95</v>
      </c>
    </row>
    <row r="9" spans="1:6" x14ac:dyDescent="0.25">
      <c r="A9" t="s">
        <v>24</v>
      </c>
      <c r="B9" t="s">
        <v>25</v>
      </c>
      <c r="C9" s="2">
        <v>278.5</v>
      </c>
      <c r="D9" s="2">
        <v>-206.5</v>
      </c>
      <c r="E9" s="2">
        <v>72</v>
      </c>
      <c r="F9" s="2">
        <v>855.8</v>
      </c>
    </row>
    <row r="10" spans="1:6" x14ac:dyDescent="0.25">
      <c r="A10" t="s">
        <v>26</v>
      </c>
      <c r="B10" t="s">
        <v>27</v>
      </c>
      <c r="C10" s="2">
        <v>206.2</v>
      </c>
      <c r="D10" s="2">
        <v>-227.5</v>
      </c>
      <c r="E10" s="2">
        <v>-21.30000000000001</v>
      </c>
      <c r="F10" s="2">
        <v>1369.31</v>
      </c>
    </row>
    <row r="11" spans="1:6" x14ac:dyDescent="0.25">
      <c r="A11" t="s">
        <v>28</v>
      </c>
      <c r="B11" t="s">
        <v>29</v>
      </c>
      <c r="C11" s="2">
        <v>187.6</v>
      </c>
      <c r="D11" s="2">
        <v>-231</v>
      </c>
      <c r="E11" s="2">
        <v>-43.400000000000006</v>
      </c>
      <c r="F11" s="2">
        <v>542.03</v>
      </c>
    </row>
    <row r="12" spans="1:6" x14ac:dyDescent="0.25">
      <c r="A12" t="s">
        <v>30</v>
      </c>
      <c r="B12" t="s">
        <v>31</v>
      </c>
      <c r="C12" s="2">
        <v>170</v>
      </c>
      <c r="D12" s="2">
        <v>-251</v>
      </c>
      <c r="E12" s="2">
        <v>-81</v>
      </c>
      <c r="F12" s="2">
        <v>471.95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 factures</vt:lpstr>
      <vt:lpstr>Détail produits</vt:lpstr>
      <vt:lpstr>Récap par produit</vt:lpstr>
      <vt:lpstr>Frais connexes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2026-02-27T16:22:57Z</dcterms:created>
  <dcterms:modified xsi:type="dcterms:W3CDTF">2026-02-27T16:22:57Z</dcterms:modified>
</cp:coreProperties>
</file>