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ètres PA" state="visible" r:id="rId4"/>
    <sheet sheetId="2" name="Marge Bar T4" state="visible" r:id="rId5"/>
    <sheet sheetId="3" name="Classement Marge" state="visible" r:id="rId6"/>
  </sheets>
  <calcPr calcId="171027"/>
</workbook>
</file>

<file path=xl/sharedStrings.xml><?xml version="1.0" encoding="utf-8"?>
<sst xmlns="http://schemas.openxmlformats.org/spreadsheetml/2006/main" count="634" uniqueCount="213">
  <si>
    <t>Code Produit</t>
  </si>
  <si>
    <t>Description</t>
  </si>
  <si>
    <t>TVA%</t>
  </si>
  <si>
    <t>PA net HTVA</t>
  </si>
  <si>
    <t>Source facture</t>
  </si>
  <si>
    <t>Date</t>
  </si>
  <si>
    <t>0000000018</t>
  </si>
  <si>
    <t>FONCEE PIED BOEUF 12 X 75 CL</t>
  </si>
  <si>
    <t>21%</t>
  </si>
  <si>
    <t>00012051</t>
  </si>
  <si>
    <t>19/12/2025</t>
  </si>
  <si>
    <t>0000000031</t>
  </si>
  <si>
    <t>CARLSBERG 0.0 % 24 X 25 CL</t>
  </si>
  <si>
    <t>6%</t>
  </si>
  <si>
    <t>00001013</t>
  </si>
  <si>
    <t>22/01/2026</t>
  </si>
  <si>
    <t>0000000040</t>
  </si>
  <si>
    <t>HOEGAARDEN 24 X 25 CL</t>
  </si>
  <si>
    <t>0000000047</t>
  </si>
  <si>
    <t>PECHERESSE 24 X 25 CL</t>
  </si>
  <si>
    <t>00010013</t>
  </si>
  <si>
    <t>09/10/2025</t>
  </si>
  <si>
    <t>0000000049</t>
  </si>
  <si>
    <t>JUPILER 0.0 24 X 25 CL</t>
  </si>
  <si>
    <t>0000000060</t>
  </si>
  <si>
    <t>CHIMAY BLEU 9° 24 X 33 CL</t>
  </si>
  <si>
    <t>0000000066</t>
  </si>
  <si>
    <t>ORVAL 1/3L X</t>
  </si>
  <si>
    <t>00012090</t>
  </si>
  <si>
    <t>31/12/2025</t>
  </si>
  <si>
    <t>0000000067</t>
  </si>
  <si>
    <t>DUVEL 24 X 33 CL</t>
  </si>
  <si>
    <t>00011056</t>
  </si>
  <si>
    <t>27/11/2025</t>
  </si>
  <si>
    <t>0000000104</t>
  </si>
  <si>
    <t>AQUARIUS 24 X  33CL PET</t>
  </si>
  <si>
    <t>0000000114</t>
  </si>
  <si>
    <t>ICE TEA 24 X 33 CL CANS</t>
  </si>
  <si>
    <t>0000000115</t>
  </si>
  <si>
    <t>ICE TEA GREEN 24 X 33 CL CANS</t>
  </si>
  <si>
    <t>0000000116</t>
  </si>
  <si>
    <t>ICE TEA PECHE 24 X 33 CL CANS</t>
  </si>
  <si>
    <t>0000000133</t>
  </si>
  <si>
    <t>SPA REINE 28 X 25 CL</t>
  </si>
  <si>
    <t>00012019</t>
  </si>
  <si>
    <t>09/12/2025</t>
  </si>
  <si>
    <t>0000000134</t>
  </si>
  <si>
    <t>SPA GAZ 28 X 25 CL-</t>
  </si>
  <si>
    <t>00011035</t>
  </si>
  <si>
    <t>15/11/2025</t>
  </si>
  <si>
    <t>0000000162</t>
  </si>
  <si>
    <t>COCA COLA 24  X 20 CL</t>
  </si>
  <si>
    <t>0000000163</t>
  </si>
  <si>
    <t>COCA COLA ZERO 24 X 20 CL</t>
  </si>
  <si>
    <t>0000000165</t>
  </si>
  <si>
    <t>FANTA ORANGE / LEMON 24 X 20 CL-</t>
  </si>
  <si>
    <t>0000000166</t>
  </si>
  <si>
    <t>SPRITE 24 X 20 CL</t>
  </si>
  <si>
    <t>0000000170</t>
  </si>
  <si>
    <t>SCHW EPPES TONIC 24 X 25 CL-</t>
  </si>
  <si>
    <t>0000000172</t>
  </si>
  <si>
    <t>SCHW EPPES MOJITO/PINK/SPRITZ 24 X 25 -</t>
  </si>
  <si>
    <t>0000000175</t>
  </si>
  <si>
    <t>CANADA DRY 24 X 25 CL-</t>
  </si>
  <si>
    <t>0000000176</t>
  </si>
  <si>
    <t>GINI 24 X 20 CL-</t>
  </si>
  <si>
    <t>0000000178</t>
  </si>
  <si>
    <t>ICE TEA REGULAR+ZERO 24 X 25CL-</t>
  </si>
  <si>
    <t>0000000219</t>
  </si>
  <si>
    <t>LE PEKET DE SALME</t>
  </si>
  <si>
    <t>0000000225</t>
  </si>
  <si>
    <t>SIROP GRENADINE 1L</t>
  </si>
  <si>
    <t>0000000228</t>
  </si>
  <si>
    <t>CHIPS LAY S SEL 20X40GRS</t>
  </si>
  <si>
    <t>0000000229</t>
  </si>
  <si>
    <t>CHIPS PAPRIKA LAY S 20X40GR</t>
  </si>
  <si>
    <t>0000000230</t>
  </si>
  <si>
    <t>CHIPS SCHMITS GRILLS 20 X 40 GR</t>
  </si>
  <si>
    <t>0000000231</t>
  </si>
  <si>
    <t>CO2 10 KG ACP</t>
  </si>
  <si>
    <t>00010041</t>
  </si>
  <si>
    <t>18/10/2025</t>
  </si>
  <si>
    <t>0000000232</t>
  </si>
  <si>
    <t>BECHAREIN 1L</t>
  </si>
  <si>
    <t>0000000270</t>
  </si>
  <si>
    <t>DESPERADOS 24 X 33 CL</t>
  </si>
  <si>
    <t>0000000277</t>
  </si>
  <si>
    <t>VIEILLE SALME 20 L</t>
  </si>
  <si>
    <t>0000000393</t>
  </si>
  <si>
    <t>ICE TEA PECHE 24 X 25 CL</t>
  </si>
  <si>
    <t>0000000420</t>
  </si>
  <si>
    <t>CHIPS SUPCHIPS S/POIV 20X40GR</t>
  </si>
  <si>
    <t>0000000464</t>
  </si>
  <si>
    <t>SCHW EPPES  AGRUME &amp; LIGHT 24 x 25 CL-</t>
  </si>
  <si>
    <t>0000000693</t>
  </si>
  <si>
    <t>ICE TEA GREEN 24 X 25 CL</t>
  </si>
  <si>
    <t>0000000802</t>
  </si>
  <si>
    <t>VILLERS CITRON 6 X 1 LITRE</t>
  </si>
  <si>
    <t>0000000803</t>
  </si>
  <si>
    <t>VILLERS ORANGE 6 X 1 LITRE-</t>
  </si>
  <si>
    <t>0000000824</t>
  </si>
  <si>
    <t>LOOZA TOUS 20CLX24</t>
  </si>
  <si>
    <t>0000000843</t>
  </si>
  <si>
    <t>LOOZA MULT ACE-RED- 24 X 20 CL</t>
  </si>
  <si>
    <t>0000000883</t>
  </si>
  <si>
    <t>JUPILER FUT 20 L</t>
  </si>
  <si>
    <t>0000000886</t>
  </si>
  <si>
    <t>COCA COLA ZERO 6 X 1 L-</t>
  </si>
  <si>
    <t>0000000887</t>
  </si>
  <si>
    <t>COCA COLA 6 X 1 L</t>
  </si>
  <si>
    <t>0000000899</t>
  </si>
  <si>
    <t>LA MYRTILLE D AMELIE 6% 24 X 33 CL</t>
  </si>
  <si>
    <t/>
  </si>
  <si>
    <t>0000001007</t>
  </si>
  <si>
    <t>HOEGAARDEN ROSEE 24 X 25 CL</t>
  </si>
  <si>
    <t>0000001051</t>
  </si>
  <si>
    <t>CHOUFFE MAC CHOUFFE 24 X 33 CL</t>
  </si>
  <si>
    <t>0000001684</t>
  </si>
  <si>
    <t>LIENNE GRANDGOUSIER 5°24 X 33 CL</t>
  </si>
  <si>
    <t>0000001995</t>
  </si>
  <si>
    <t>LUPULUS BLONDE 8.5° 24 X 33 CL</t>
  </si>
  <si>
    <t>0000001996</t>
  </si>
  <si>
    <t>LUPULUS BRUNE 8.5° 24 X 33 CL</t>
  </si>
  <si>
    <t>0000002083</t>
  </si>
  <si>
    <t>LA TORRE CHARDONNAY BLANC</t>
  </si>
  <si>
    <t>0000002241</t>
  </si>
  <si>
    <t>ST HUBERTUS BLONDE - AMBREE 12 X 33 C-</t>
  </si>
  <si>
    <t>0000002350</t>
  </si>
  <si>
    <t>LA TORRE ROSATO IGP SALENTO 75 CL RS</t>
  </si>
  <si>
    <t>0000002351</t>
  </si>
  <si>
    <t>LA TORRE NEGROAMARO IGP SALENTO</t>
  </si>
  <si>
    <t>0000002423</t>
  </si>
  <si>
    <t>APEROL 11% 1L</t>
  </si>
  <si>
    <t>0000002453</t>
  </si>
  <si>
    <t>LEFFE BLONDE 24 X 33 CL 18+6 GRATUITES</t>
  </si>
  <si>
    <t>0000002454</t>
  </si>
  <si>
    <t>LEFFE BRUNE 24 X 33 CL 18+6 GRATUITES-</t>
  </si>
  <si>
    <t>00011054</t>
  </si>
  <si>
    <t>24/11/2025</t>
  </si>
  <si>
    <t>0000002999</t>
  </si>
  <si>
    <t>CHOUFFE CHERRY 24 X 33 CL</t>
  </si>
  <si>
    <t>0000003051</t>
  </si>
  <si>
    <t>L'ANGE DE LA SALME 6% 24 X 33 CL</t>
  </si>
  <si>
    <t>0000003052</t>
  </si>
  <si>
    <t>VIEILLE SALME 8.3% 24 X 33 CL</t>
  </si>
  <si>
    <t>0000005001</t>
  </si>
  <si>
    <t>VERRES JUPILER</t>
  </si>
  <si>
    <t>0000005015</t>
  </si>
  <si>
    <t>VERRES MAC CHOUFFE</t>
  </si>
  <si>
    <t>0000005040</t>
  </si>
  <si>
    <t>VERRES HOEGARDEN</t>
  </si>
  <si>
    <t>0000005052</t>
  </si>
  <si>
    <t>VERRES VIEILLE SALME 33 CL</t>
  </si>
  <si>
    <t>0000005059</t>
  </si>
  <si>
    <t>VERRES CHIMAY</t>
  </si>
  <si>
    <t>0000005067</t>
  </si>
  <si>
    <t>VERRES DUVEL</t>
  </si>
  <si>
    <t>0000005074</t>
  </si>
  <si>
    <t>VERRES LEFFE</t>
  </si>
  <si>
    <t>0000005117</t>
  </si>
  <si>
    <t>VERRES A EAUX SANS PIEDS</t>
  </si>
  <si>
    <t>0000005147</t>
  </si>
  <si>
    <t>VERRES COCA-FANTA-SPRITE</t>
  </si>
  <si>
    <t>0000005156</t>
  </si>
  <si>
    <t>VERRES APEROL</t>
  </si>
  <si>
    <t>0000005170</t>
  </si>
  <si>
    <t>VERRES SCHW EPPES</t>
  </si>
  <si>
    <t>0000005178</t>
  </si>
  <si>
    <t>VERRES ICE TEA LIPTON</t>
  </si>
  <si>
    <t>0000005212</t>
  </si>
  <si>
    <t>VERRES VIN</t>
  </si>
  <si>
    <t>0000005312</t>
  </si>
  <si>
    <t>VERRES LUPULUS</t>
  </si>
  <si>
    <t>0000006052</t>
  </si>
  <si>
    <t>GALOPINS VIEILLE SALME 15 CL</t>
  </si>
  <si>
    <t>0000030161</t>
  </si>
  <si>
    <t>AURORE DE LA SALM 8.3% 24 X 33 CL CART</t>
  </si>
  <si>
    <t>0000030171</t>
  </si>
  <si>
    <t>LI NEURRE BIESSE D'IVIER 8.3% 24 X 33 CL</t>
  </si>
  <si>
    <t>Catégorie Nextore</t>
  </si>
  <si>
    <t>CA HT</t>
  </si>
  <si>
    <t>CA TTC</t>
  </si>
  <si>
    <t>PA HTVA (Detrembleur)</t>
  </si>
  <si>
    <t>Marge brute HTVA</t>
  </si>
  <si>
    <t>Marge %</t>
  </si>
  <si>
    <t>FUT</t>
  </si>
  <si>
    <t>BIERE BOUTEILLE 33 CL</t>
  </si>
  <si>
    <t>SOFT - 20 ou 25 CL</t>
  </si>
  <si>
    <t>SOFT - 33 CL</t>
  </si>
  <si>
    <t>SNACK</t>
  </si>
  <si>
    <t>BIERE BOUTEILLE 25 CL</t>
  </si>
  <si>
    <t>BOISSON CHAUDE</t>
  </si>
  <si>
    <t>Alcool : Vin, blanc Co, Spritz</t>
  </si>
  <si>
    <t>TOTAL T4</t>
  </si>
  <si>
    <t>Code</t>
  </si>
  <si>
    <t>Qté</t>
  </si>
  <si>
    <t>CA HTVA (calc)</t>
  </si>
  <si>
    <t>PA HTVA</t>
  </si>
  <si>
    <t>Marge€</t>
  </si>
  <si>
    <t>Marge%</t>
  </si>
  <si>
    <t>LIENNE GRANDGOUSIER 5°24 X 33 CL-</t>
  </si>
  <si>
    <t>CHOUFFE MAC CHOUFFE 24 X 33 CL-</t>
  </si>
  <si>
    <t>LUPULUS BLONDE 8.5° 24 X 33 CL-</t>
  </si>
  <si>
    <t>DUVEL 24 X 33 CL-</t>
  </si>
  <si>
    <t>DESPERADOS 24 X 33 CL-</t>
  </si>
  <si>
    <t>COCA COLA 24  X 20 CL-</t>
  </si>
  <si>
    <t>CHOUFFE CHERRY 24 X 33 CL-</t>
  </si>
  <si>
    <t>ORVAL 1/3L X24</t>
  </si>
  <si>
    <t>HOEGAARDEN 24 X 25 CL-</t>
  </si>
  <si>
    <t>LOOZA TOUS 20CLX24-</t>
  </si>
  <si>
    <t>VILLERS CITRON 6 X 1 LITRE-</t>
  </si>
  <si>
    <t>LUPULUS BRUNE 8.5° 24 X 33 CL-</t>
  </si>
  <si>
    <t>VERRES 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</si>
</sst>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75623"/>
      </patternFill>
    </fill>
    <fill>
      <patternFill patternType="solid">
        <fgColor rgb="FF843C0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FormatPr defaultRowHeight="15" outlineLevelRow="0" outlineLevelCol="0" x14ac:dyDescent="55"/>
  <cols>
    <col min="1" max="1" width="14" customWidth="1"/>
    <col min="2" max="2" width="50" customWidth="1"/>
    <col min="3" max="3" width="8" customWidth="1"/>
    <col min="4" max="5" width="14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1.849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s="2">
        <v>23.112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s="2">
        <v>23.16</v>
      </c>
      <c r="E4" t="s">
        <v>14</v>
      </c>
      <c r="F4" t="s">
        <v>15</v>
      </c>
    </row>
    <row r="5" spans="1:6" x14ac:dyDescent="0.25">
      <c r="A5" t="s">
        <v>18</v>
      </c>
      <c r="B5" t="s">
        <v>19</v>
      </c>
      <c r="C5" t="s">
        <v>8</v>
      </c>
      <c r="D5" s="2">
        <v>30.528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t="s">
        <v>13</v>
      </c>
      <c r="D6" s="2">
        <v>18.432</v>
      </c>
      <c r="E6" t="s">
        <v>20</v>
      </c>
      <c r="F6" t="s">
        <v>21</v>
      </c>
    </row>
    <row r="7" spans="1:6" x14ac:dyDescent="0.25">
      <c r="A7" t="s">
        <v>24</v>
      </c>
      <c r="B7" t="s">
        <v>25</v>
      </c>
      <c r="C7" t="s">
        <v>8</v>
      </c>
      <c r="D7" s="2">
        <v>43.632</v>
      </c>
      <c r="E7" t="s">
        <v>14</v>
      </c>
      <c r="F7" t="s">
        <v>15</v>
      </c>
    </row>
    <row r="8" spans="1:6" x14ac:dyDescent="0.25">
      <c r="A8" t="s">
        <v>26</v>
      </c>
      <c r="B8" t="s">
        <v>27</v>
      </c>
      <c r="C8" t="s">
        <v>8</v>
      </c>
      <c r="D8" s="2">
        <v>1.793</v>
      </c>
      <c r="E8" t="s">
        <v>28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s="2">
        <v>34.8</v>
      </c>
      <c r="E9" t="s">
        <v>32</v>
      </c>
      <c r="F9" t="s">
        <v>33</v>
      </c>
    </row>
    <row r="10" spans="1:6" x14ac:dyDescent="0.25">
      <c r="A10" t="s">
        <v>34</v>
      </c>
      <c r="B10" t="s">
        <v>35</v>
      </c>
      <c r="C10" t="s">
        <v>13</v>
      </c>
      <c r="D10" s="2">
        <v>23.184</v>
      </c>
      <c r="E10" t="s">
        <v>9</v>
      </c>
      <c r="F10" t="s">
        <v>10</v>
      </c>
    </row>
    <row r="11" spans="1:6" x14ac:dyDescent="0.25">
      <c r="A11" t="s">
        <v>36</v>
      </c>
      <c r="B11" t="s">
        <v>37</v>
      </c>
      <c r="C11" t="s">
        <v>13</v>
      </c>
      <c r="D11" s="2">
        <v>20.16</v>
      </c>
      <c r="E11" t="s">
        <v>9</v>
      </c>
      <c r="F11" t="s">
        <v>10</v>
      </c>
    </row>
    <row r="12" spans="1:6" x14ac:dyDescent="0.25">
      <c r="A12" t="s">
        <v>38</v>
      </c>
      <c r="B12" t="s">
        <v>39</v>
      </c>
      <c r="C12" t="s">
        <v>13</v>
      </c>
      <c r="D12" s="2">
        <v>20.472</v>
      </c>
      <c r="E12" t="s">
        <v>9</v>
      </c>
      <c r="F12" t="s">
        <v>10</v>
      </c>
    </row>
    <row r="13" spans="1:6" x14ac:dyDescent="0.25">
      <c r="A13" t="s">
        <v>40</v>
      </c>
      <c r="B13" t="s">
        <v>41</v>
      </c>
      <c r="C13" t="s">
        <v>13</v>
      </c>
      <c r="D13" s="2">
        <v>20.16</v>
      </c>
      <c r="E13" t="s">
        <v>9</v>
      </c>
      <c r="F13" t="s">
        <v>10</v>
      </c>
    </row>
    <row r="14" spans="1:6" x14ac:dyDescent="0.25">
      <c r="A14" t="s">
        <v>42</v>
      </c>
      <c r="B14" t="s">
        <v>43</v>
      </c>
      <c r="C14" t="s">
        <v>13</v>
      </c>
      <c r="D14" s="2">
        <v>9.268</v>
      </c>
      <c r="E14" t="s">
        <v>44</v>
      </c>
      <c r="F14" t="s">
        <v>45</v>
      </c>
    </row>
    <row r="15" spans="1:6" x14ac:dyDescent="0.25">
      <c r="A15" t="s">
        <v>46</v>
      </c>
      <c r="B15" t="s">
        <v>47</v>
      </c>
      <c r="C15" t="s">
        <v>13</v>
      </c>
      <c r="D15" s="2">
        <v>12.684</v>
      </c>
      <c r="E15" t="s">
        <v>48</v>
      </c>
      <c r="F15" t="s">
        <v>49</v>
      </c>
    </row>
    <row r="16" spans="1:6" x14ac:dyDescent="0.25">
      <c r="A16" t="s">
        <v>50</v>
      </c>
      <c r="B16" t="s">
        <v>51</v>
      </c>
      <c r="C16" t="s">
        <v>13</v>
      </c>
      <c r="D16" s="2">
        <v>16.584</v>
      </c>
      <c r="E16" t="s">
        <v>9</v>
      </c>
      <c r="F16" t="s">
        <v>10</v>
      </c>
    </row>
    <row r="17" spans="1:6" x14ac:dyDescent="0.25">
      <c r="A17" t="s">
        <v>52</v>
      </c>
      <c r="B17" t="s">
        <v>53</v>
      </c>
      <c r="C17" t="s">
        <v>13</v>
      </c>
      <c r="D17" s="2">
        <v>16.584</v>
      </c>
      <c r="E17" t="s">
        <v>44</v>
      </c>
      <c r="F17" t="s">
        <v>45</v>
      </c>
    </row>
    <row r="18" spans="1:6" x14ac:dyDescent="0.25">
      <c r="A18" t="s">
        <v>54</v>
      </c>
      <c r="B18" t="s">
        <v>55</v>
      </c>
      <c r="C18" t="s">
        <v>13</v>
      </c>
      <c r="D18" s="2">
        <v>16.774</v>
      </c>
      <c r="E18" t="s">
        <v>28</v>
      </c>
      <c r="F18" t="s">
        <v>29</v>
      </c>
    </row>
    <row r="19" spans="1:6" x14ac:dyDescent="0.25">
      <c r="A19" t="s">
        <v>56</v>
      </c>
      <c r="B19" t="s">
        <v>57</v>
      </c>
      <c r="C19" t="s">
        <v>13</v>
      </c>
      <c r="D19" s="2">
        <v>16.776</v>
      </c>
      <c r="E19" t="s">
        <v>14</v>
      </c>
      <c r="F19" t="s">
        <v>15</v>
      </c>
    </row>
    <row r="20" spans="1:6" x14ac:dyDescent="0.25">
      <c r="A20" t="s">
        <v>58</v>
      </c>
      <c r="B20" t="s">
        <v>59</v>
      </c>
      <c r="C20" t="s">
        <v>13</v>
      </c>
      <c r="D20" s="2">
        <v>25.368</v>
      </c>
      <c r="E20" t="s">
        <v>28</v>
      </c>
      <c r="F20" t="s">
        <v>29</v>
      </c>
    </row>
    <row r="21" spans="1:6" x14ac:dyDescent="0.25">
      <c r="A21" t="s">
        <v>60</v>
      </c>
      <c r="B21" t="s">
        <v>61</v>
      </c>
      <c r="C21" t="s">
        <v>13</v>
      </c>
      <c r="D21" s="2">
        <v>25.462</v>
      </c>
      <c r="E21" t="s">
        <v>28</v>
      </c>
      <c r="F21" t="s">
        <v>29</v>
      </c>
    </row>
    <row r="22" spans="1:6" x14ac:dyDescent="0.25">
      <c r="A22" t="s">
        <v>62</v>
      </c>
      <c r="B22" t="s">
        <v>63</v>
      </c>
      <c r="C22" t="s">
        <v>13</v>
      </c>
      <c r="D22" s="2">
        <v>26.019</v>
      </c>
      <c r="E22" t="s">
        <v>28</v>
      </c>
      <c r="F22" t="s">
        <v>29</v>
      </c>
    </row>
    <row r="23" spans="1:6" x14ac:dyDescent="0.25">
      <c r="A23" t="s">
        <v>64</v>
      </c>
      <c r="B23" t="s">
        <v>65</v>
      </c>
      <c r="C23" t="s">
        <v>13</v>
      </c>
      <c r="D23" s="2">
        <v>22.292</v>
      </c>
      <c r="E23" t="s">
        <v>28</v>
      </c>
      <c r="F23" t="s">
        <v>29</v>
      </c>
    </row>
    <row r="24" spans="1:6" x14ac:dyDescent="0.25">
      <c r="A24" t="s">
        <v>66</v>
      </c>
      <c r="B24" t="s">
        <v>67</v>
      </c>
      <c r="C24" t="s">
        <v>13</v>
      </c>
      <c r="D24" s="2">
        <v>17.349</v>
      </c>
      <c r="E24" t="s">
        <v>28</v>
      </c>
      <c r="F24" t="s">
        <v>29</v>
      </c>
    </row>
    <row r="25" spans="1:6" x14ac:dyDescent="0.25">
      <c r="A25" t="s">
        <v>68</v>
      </c>
      <c r="B25" t="s">
        <v>69</v>
      </c>
      <c r="C25" t="s">
        <v>8</v>
      </c>
      <c r="D25" s="2">
        <v>13.005</v>
      </c>
      <c r="E25" t="s">
        <v>20</v>
      </c>
      <c r="F25" t="s">
        <v>21</v>
      </c>
    </row>
    <row r="26" spans="1:6" x14ac:dyDescent="0.25">
      <c r="A26" t="s">
        <v>70</v>
      </c>
      <c r="B26" t="s">
        <v>71</v>
      </c>
      <c r="C26" t="s">
        <v>13</v>
      </c>
      <c r="D26" s="2">
        <v>6.149</v>
      </c>
      <c r="E26" t="s">
        <v>20</v>
      </c>
      <c r="F26" t="s">
        <v>21</v>
      </c>
    </row>
    <row r="27" spans="1:6" x14ac:dyDescent="0.25">
      <c r="A27" t="s">
        <v>72</v>
      </c>
      <c r="B27" t="s">
        <v>73</v>
      </c>
      <c r="C27" t="s">
        <v>13</v>
      </c>
      <c r="D27" s="2">
        <v>13.62</v>
      </c>
      <c r="E27" t="s">
        <v>9</v>
      </c>
      <c r="F27" t="s">
        <v>10</v>
      </c>
    </row>
    <row r="28" spans="1:6" x14ac:dyDescent="0.25">
      <c r="A28" t="s">
        <v>74</v>
      </c>
      <c r="B28" t="s">
        <v>75</v>
      </c>
      <c r="C28" t="s">
        <v>13</v>
      </c>
      <c r="D28" s="2">
        <v>13.62</v>
      </c>
      <c r="E28" t="s">
        <v>9</v>
      </c>
      <c r="F28" t="s">
        <v>10</v>
      </c>
    </row>
    <row r="29" spans="1:6" x14ac:dyDescent="0.25">
      <c r="A29" t="s">
        <v>76</v>
      </c>
      <c r="B29" t="s">
        <v>77</v>
      </c>
      <c r="C29" t="s">
        <v>13</v>
      </c>
      <c r="D29" s="2">
        <v>19.1</v>
      </c>
      <c r="E29" t="s">
        <v>20</v>
      </c>
      <c r="F29" t="s">
        <v>21</v>
      </c>
    </row>
    <row r="30" spans="1:6" x14ac:dyDescent="0.25">
      <c r="A30" t="s">
        <v>78</v>
      </c>
      <c r="B30" t="s">
        <v>79</v>
      </c>
      <c r="C30" t="s">
        <v>8</v>
      </c>
      <c r="D30" s="2">
        <v>49.672</v>
      </c>
      <c r="E30" t="s">
        <v>80</v>
      </c>
      <c r="F30" t="s">
        <v>81</v>
      </c>
    </row>
    <row r="31" spans="1:6" x14ac:dyDescent="0.25">
      <c r="A31" t="s">
        <v>82</v>
      </c>
      <c r="B31" t="s">
        <v>83</v>
      </c>
      <c r="C31" t="s">
        <v>8</v>
      </c>
      <c r="D31" s="2">
        <v>11.133</v>
      </c>
      <c r="E31" t="s">
        <v>20</v>
      </c>
      <c r="F31" t="s">
        <v>21</v>
      </c>
    </row>
    <row r="32" spans="1:6" x14ac:dyDescent="0.25">
      <c r="A32" t="s">
        <v>84</v>
      </c>
      <c r="B32" t="s">
        <v>85</v>
      </c>
      <c r="C32" t="s">
        <v>8</v>
      </c>
      <c r="D32" s="2">
        <v>43.344</v>
      </c>
      <c r="E32" t="s">
        <v>9</v>
      </c>
      <c r="F32" t="s">
        <v>10</v>
      </c>
    </row>
    <row r="33" spans="1:6" x14ac:dyDescent="0.25">
      <c r="A33" t="s">
        <v>86</v>
      </c>
      <c r="B33" t="s">
        <v>87</v>
      </c>
      <c r="C33" t="s">
        <v>8</v>
      </c>
      <c r="D33" s="2">
        <v>84.662</v>
      </c>
      <c r="E33" t="s">
        <v>14</v>
      </c>
      <c r="F33" t="s">
        <v>15</v>
      </c>
    </row>
    <row r="34" spans="1:6" x14ac:dyDescent="0.25">
      <c r="A34" t="s">
        <v>88</v>
      </c>
      <c r="B34" t="s">
        <v>89</v>
      </c>
      <c r="C34" t="s">
        <v>13</v>
      </c>
      <c r="D34" s="2">
        <v>17.352</v>
      </c>
      <c r="E34" t="s">
        <v>9</v>
      </c>
      <c r="F34" t="s">
        <v>10</v>
      </c>
    </row>
    <row r="35" spans="1:6" x14ac:dyDescent="0.25">
      <c r="A35" t="s">
        <v>90</v>
      </c>
      <c r="B35" t="s">
        <v>91</v>
      </c>
      <c r="C35" t="s">
        <v>13</v>
      </c>
      <c r="D35" s="2">
        <v>13.62</v>
      </c>
      <c r="E35" t="s">
        <v>9</v>
      </c>
      <c r="F35" t="s">
        <v>10</v>
      </c>
    </row>
    <row r="36" spans="1:6" x14ac:dyDescent="0.25">
      <c r="A36" t="s">
        <v>92</v>
      </c>
      <c r="B36" t="s">
        <v>93</v>
      </c>
      <c r="C36" t="s">
        <v>13</v>
      </c>
      <c r="D36" s="2">
        <v>24.887</v>
      </c>
      <c r="E36" t="s">
        <v>28</v>
      </c>
      <c r="F36" t="s">
        <v>29</v>
      </c>
    </row>
    <row r="37" spans="1:6" x14ac:dyDescent="0.25">
      <c r="A37" t="s">
        <v>94</v>
      </c>
      <c r="B37" t="s">
        <v>95</v>
      </c>
      <c r="C37" t="s">
        <v>13</v>
      </c>
      <c r="D37" s="2">
        <v>17.352</v>
      </c>
      <c r="E37" t="s">
        <v>9</v>
      </c>
      <c r="F37" t="s">
        <v>10</v>
      </c>
    </row>
    <row r="38" spans="1:6" x14ac:dyDescent="0.25">
      <c r="A38" t="s">
        <v>96</v>
      </c>
      <c r="B38" t="s">
        <v>97</v>
      </c>
      <c r="C38" t="s">
        <v>13</v>
      </c>
      <c r="D38" s="2">
        <v>6.708</v>
      </c>
      <c r="E38" t="s">
        <v>48</v>
      </c>
      <c r="F38" t="s">
        <v>49</v>
      </c>
    </row>
    <row r="39" spans="1:6" x14ac:dyDescent="0.25">
      <c r="A39" t="s">
        <v>98</v>
      </c>
      <c r="B39" t="s">
        <v>99</v>
      </c>
      <c r="C39" t="s">
        <v>13</v>
      </c>
      <c r="D39" s="2">
        <v>9.342</v>
      </c>
      <c r="E39" t="s">
        <v>48</v>
      </c>
      <c r="F39" t="s">
        <v>49</v>
      </c>
    </row>
    <row r="40" spans="1:6" x14ac:dyDescent="0.25">
      <c r="A40" t="s">
        <v>100</v>
      </c>
      <c r="B40" t="s">
        <v>101</v>
      </c>
      <c r="C40" t="s">
        <v>13</v>
      </c>
      <c r="D40" s="2">
        <v>19.032</v>
      </c>
      <c r="E40" t="s">
        <v>14</v>
      </c>
      <c r="F40" t="s">
        <v>15</v>
      </c>
    </row>
    <row r="41" spans="1:6" x14ac:dyDescent="0.25">
      <c r="A41" t="s">
        <v>102</v>
      </c>
      <c r="B41" t="s">
        <v>103</v>
      </c>
      <c r="C41" t="s">
        <v>13</v>
      </c>
      <c r="D41" s="2">
        <v>18.072</v>
      </c>
      <c r="E41" t="s">
        <v>20</v>
      </c>
      <c r="F41" t="s">
        <v>21</v>
      </c>
    </row>
    <row r="42" spans="1:6" x14ac:dyDescent="0.25">
      <c r="A42" t="s">
        <v>104</v>
      </c>
      <c r="B42" t="s">
        <v>105</v>
      </c>
      <c r="C42" t="s">
        <v>8</v>
      </c>
      <c r="D42" s="2">
        <v>67.098</v>
      </c>
      <c r="E42" t="s">
        <v>28</v>
      </c>
      <c r="F42" t="s">
        <v>29</v>
      </c>
    </row>
    <row r="43" spans="1:6" x14ac:dyDescent="0.25">
      <c r="A43" t="s">
        <v>106</v>
      </c>
      <c r="B43" t="s">
        <v>107</v>
      </c>
      <c r="C43" t="s">
        <v>13</v>
      </c>
      <c r="D43" s="2">
        <v>18.126</v>
      </c>
      <c r="E43" t="s">
        <v>48</v>
      </c>
      <c r="F43" t="s">
        <v>49</v>
      </c>
    </row>
    <row r="44" spans="1:6" x14ac:dyDescent="0.25">
      <c r="A44" t="s">
        <v>108</v>
      </c>
      <c r="B44" t="s">
        <v>109</v>
      </c>
      <c r="C44" t="s">
        <v>13</v>
      </c>
      <c r="D44" s="2">
        <v>15.93</v>
      </c>
      <c r="E44" t="s">
        <v>32</v>
      </c>
      <c r="F44" t="s">
        <v>33</v>
      </c>
    </row>
    <row r="45" spans="1:6" x14ac:dyDescent="0.25">
      <c r="A45" t="s">
        <v>110</v>
      </c>
      <c r="B45" t="s">
        <v>111</v>
      </c>
      <c r="C45" t="s">
        <v>112</v>
      </c>
      <c r="D45" s="2">
        <v>1.611</v>
      </c>
      <c r="E45" t="s">
        <v>20</v>
      </c>
      <c r="F45" t="s">
        <v>21</v>
      </c>
    </row>
    <row r="46" spans="1:6" x14ac:dyDescent="0.25">
      <c r="A46" t="s">
        <v>113</v>
      </c>
      <c r="B46" t="s">
        <v>114</v>
      </c>
      <c r="C46" t="s">
        <v>8</v>
      </c>
      <c r="D46" s="2">
        <v>26.88</v>
      </c>
      <c r="E46" t="s">
        <v>20</v>
      </c>
      <c r="F46" t="s">
        <v>21</v>
      </c>
    </row>
    <row r="47" spans="1:6" x14ac:dyDescent="0.25">
      <c r="A47" t="s">
        <v>115</v>
      </c>
      <c r="B47" t="s">
        <v>116</v>
      </c>
      <c r="C47" t="s">
        <v>8</v>
      </c>
      <c r="D47" s="2">
        <v>35.472</v>
      </c>
      <c r="E47" t="s">
        <v>14</v>
      </c>
      <c r="F47" t="s">
        <v>15</v>
      </c>
    </row>
    <row r="48" spans="1:6" x14ac:dyDescent="0.25">
      <c r="A48" t="s">
        <v>117</v>
      </c>
      <c r="B48" t="s">
        <v>118</v>
      </c>
      <c r="C48" t="s">
        <v>8</v>
      </c>
      <c r="D48" s="2">
        <v>44.592</v>
      </c>
      <c r="E48" t="s">
        <v>14</v>
      </c>
      <c r="F48" t="s">
        <v>15</v>
      </c>
    </row>
    <row r="49" spans="1:6" x14ac:dyDescent="0.25">
      <c r="A49" t="s">
        <v>119</v>
      </c>
      <c r="B49" t="s">
        <v>120</v>
      </c>
      <c r="C49" t="s">
        <v>8</v>
      </c>
      <c r="D49" s="2">
        <v>32.711</v>
      </c>
      <c r="E49" t="s">
        <v>28</v>
      </c>
      <c r="F49" t="s">
        <v>29</v>
      </c>
    </row>
    <row r="50" spans="1:6" x14ac:dyDescent="0.25">
      <c r="A50" t="s">
        <v>121</v>
      </c>
      <c r="B50" t="s">
        <v>122</v>
      </c>
      <c r="C50" t="s">
        <v>8</v>
      </c>
      <c r="D50" s="2">
        <v>41.04</v>
      </c>
      <c r="E50" t="s">
        <v>48</v>
      </c>
      <c r="F50" t="s">
        <v>49</v>
      </c>
    </row>
    <row r="51" spans="1:6" x14ac:dyDescent="0.25">
      <c r="A51" t="s">
        <v>123</v>
      </c>
      <c r="B51" t="s">
        <v>124</v>
      </c>
      <c r="C51" t="s">
        <v>8</v>
      </c>
      <c r="D51" s="2">
        <v>5.963</v>
      </c>
      <c r="E51" t="s">
        <v>20</v>
      </c>
      <c r="F51" t="s">
        <v>21</v>
      </c>
    </row>
    <row r="52" spans="1:6" x14ac:dyDescent="0.25">
      <c r="A52" t="s">
        <v>125</v>
      </c>
      <c r="B52" t="s">
        <v>126</v>
      </c>
      <c r="C52" t="s">
        <v>8</v>
      </c>
      <c r="D52" s="2">
        <v>21.554</v>
      </c>
      <c r="E52" t="s">
        <v>28</v>
      </c>
      <c r="F52" t="s">
        <v>29</v>
      </c>
    </row>
    <row r="53" spans="1:6" x14ac:dyDescent="0.25">
      <c r="A53" t="s">
        <v>127</v>
      </c>
      <c r="B53" t="s">
        <v>128</v>
      </c>
      <c r="C53" t="s">
        <v>8</v>
      </c>
      <c r="D53" s="2">
        <v>5.963</v>
      </c>
      <c r="E53" t="s">
        <v>20</v>
      </c>
      <c r="F53" t="s">
        <v>21</v>
      </c>
    </row>
    <row r="54" spans="1:6" x14ac:dyDescent="0.25">
      <c r="A54" t="s">
        <v>129</v>
      </c>
      <c r="B54" t="s">
        <v>130</v>
      </c>
      <c r="C54" t="s">
        <v>8</v>
      </c>
      <c r="D54" s="2">
        <v>5.963</v>
      </c>
      <c r="E54" t="s">
        <v>20</v>
      </c>
      <c r="F54" t="s">
        <v>21</v>
      </c>
    </row>
    <row r="55" spans="1:6" x14ac:dyDescent="0.25">
      <c r="A55" t="s">
        <v>131</v>
      </c>
      <c r="B55" t="s">
        <v>132</v>
      </c>
      <c r="C55" t="s">
        <v>8</v>
      </c>
      <c r="D55" s="2">
        <v>18.032</v>
      </c>
      <c r="E55" t="s">
        <v>20</v>
      </c>
      <c r="F55" t="s">
        <v>21</v>
      </c>
    </row>
    <row r="56" spans="1:6" x14ac:dyDescent="0.25">
      <c r="A56" t="s">
        <v>133</v>
      </c>
      <c r="B56" t="s">
        <v>134</v>
      </c>
      <c r="C56" t="s">
        <v>8</v>
      </c>
      <c r="D56" s="2">
        <v>1.078</v>
      </c>
      <c r="E56" t="s">
        <v>48</v>
      </c>
      <c r="F56" t="s">
        <v>49</v>
      </c>
    </row>
    <row r="57" spans="1:6" x14ac:dyDescent="0.25">
      <c r="A57" t="s">
        <v>135</v>
      </c>
      <c r="B57" t="s">
        <v>136</v>
      </c>
      <c r="C57" t="s">
        <v>8</v>
      </c>
      <c r="D57" s="2">
        <v>24.36</v>
      </c>
      <c r="E57" t="s">
        <v>137</v>
      </c>
      <c r="F57" t="s">
        <v>138</v>
      </c>
    </row>
    <row r="58" spans="1:6" x14ac:dyDescent="0.25">
      <c r="A58" t="s">
        <v>139</v>
      </c>
      <c r="B58" t="s">
        <v>140</v>
      </c>
      <c r="C58" t="s">
        <v>8</v>
      </c>
      <c r="D58" s="2">
        <v>37.608</v>
      </c>
      <c r="E58" t="s">
        <v>44</v>
      </c>
      <c r="F58" t="s">
        <v>45</v>
      </c>
    </row>
    <row r="59" spans="1:6" x14ac:dyDescent="0.25">
      <c r="A59" t="s">
        <v>141</v>
      </c>
      <c r="B59" t="s">
        <v>142</v>
      </c>
      <c r="C59" t="s">
        <v>112</v>
      </c>
      <c r="D59" s="2">
        <v>1.47</v>
      </c>
      <c r="E59" t="s">
        <v>20</v>
      </c>
      <c r="F59" t="s">
        <v>21</v>
      </c>
    </row>
    <row r="60" spans="1:6" x14ac:dyDescent="0.25">
      <c r="A60" t="s">
        <v>143</v>
      </c>
      <c r="B60" t="s">
        <v>144</v>
      </c>
      <c r="C60" t="s">
        <v>8</v>
      </c>
      <c r="D60" s="2">
        <v>38.663</v>
      </c>
      <c r="E60" t="s">
        <v>20</v>
      </c>
      <c r="F60" t="s">
        <v>21</v>
      </c>
    </row>
    <row r="61" spans="1:6" x14ac:dyDescent="0.25">
      <c r="A61" t="s">
        <v>145</v>
      </c>
      <c r="B61" t="s">
        <v>146</v>
      </c>
      <c r="C61" t="s">
        <v>112</v>
      </c>
      <c r="D61" s="2">
        <v>1.26</v>
      </c>
      <c r="E61" t="s">
        <v>20</v>
      </c>
      <c r="F61" t="s">
        <v>21</v>
      </c>
    </row>
    <row r="62" spans="1:6" x14ac:dyDescent="0.25">
      <c r="A62" t="s">
        <v>147</v>
      </c>
      <c r="B62" t="s">
        <v>148</v>
      </c>
      <c r="C62" t="s">
        <v>112</v>
      </c>
      <c r="D62" s="2">
        <v>3.017</v>
      </c>
      <c r="E62" t="s">
        <v>20</v>
      </c>
      <c r="F62" t="s">
        <v>21</v>
      </c>
    </row>
    <row r="63" spans="1:6" x14ac:dyDescent="0.25">
      <c r="A63" t="s">
        <v>149</v>
      </c>
      <c r="B63" t="s">
        <v>150</v>
      </c>
      <c r="C63" t="s">
        <v>112</v>
      </c>
      <c r="D63" s="2">
        <v>2.479</v>
      </c>
      <c r="E63" t="s">
        <v>20</v>
      </c>
      <c r="F63" t="s">
        <v>21</v>
      </c>
    </row>
    <row r="64" spans="1:6" x14ac:dyDescent="0.25">
      <c r="A64" t="s">
        <v>151</v>
      </c>
      <c r="B64" t="s">
        <v>152</v>
      </c>
      <c r="C64" t="s">
        <v>112</v>
      </c>
      <c r="D64" s="2">
        <v>4.545</v>
      </c>
      <c r="E64" t="s">
        <v>20</v>
      </c>
      <c r="F64" t="s">
        <v>21</v>
      </c>
    </row>
    <row r="65" spans="1:6" x14ac:dyDescent="0.25">
      <c r="A65" t="s">
        <v>153</v>
      </c>
      <c r="B65" t="s">
        <v>154</v>
      </c>
      <c r="C65" t="s">
        <v>112</v>
      </c>
      <c r="D65" s="2">
        <v>3.306</v>
      </c>
      <c r="E65" t="s">
        <v>20</v>
      </c>
      <c r="F65" t="s">
        <v>21</v>
      </c>
    </row>
    <row r="66" spans="1:6" x14ac:dyDescent="0.25">
      <c r="A66" t="s">
        <v>155</v>
      </c>
      <c r="B66" t="s">
        <v>156</v>
      </c>
      <c r="C66" t="s">
        <v>112</v>
      </c>
      <c r="D66" s="2">
        <v>3</v>
      </c>
      <c r="E66" t="s">
        <v>20</v>
      </c>
      <c r="F66" t="s">
        <v>21</v>
      </c>
    </row>
    <row r="67" spans="1:6" x14ac:dyDescent="0.25">
      <c r="A67" t="s">
        <v>157</v>
      </c>
      <c r="B67" t="s">
        <v>158</v>
      </c>
      <c r="C67" t="s">
        <v>112</v>
      </c>
      <c r="D67" s="2">
        <v>2.893</v>
      </c>
      <c r="E67" t="s">
        <v>20</v>
      </c>
      <c r="F67" t="s">
        <v>21</v>
      </c>
    </row>
    <row r="68" spans="1:6" x14ac:dyDescent="0.25">
      <c r="A68" t="s">
        <v>159</v>
      </c>
      <c r="B68" t="s">
        <v>160</v>
      </c>
      <c r="C68" t="s">
        <v>112</v>
      </c>
      <c r="D68" s="2">
        <v>0.677</v>
      </c>
      <c r="E68" t="s">
        <v>20</v>
      </c>
      <c r="F68" t="s">
        <v>21</v>
      </c>
    </row>
    <row r="69" spans="1:6" x14ac:dyDescent="0.25">
      <c r="A69" t="s">
        <v>161</v>
      </c>
      <c r="B69" t="s">
        <v>162</v>
      </c>
      <c r="C69" t="s">
        <v>112</v>
      </c>
      <c r="D69" s="2">
        <v>0.826</v>
      </c>
      <c r="E69" t="s">
        <v>20</v>
      </c>
      <c r="F69" t="s">
        <v>21</v>
      </c>
    </row>
    <row r="70" spans="1:6" x14ac:dyDescent="0.25">
      <c r="A70" t="s">
        <v>163</v>
      </c>
      <c r="B70" t="s">
        <v>164</v>
      </c>
      <c r="C70" t="s">
        <v>112</v>
      </c>
      <c r="D70" s="2">
        <v>3.397</v>
      </c>
      <c r="E70" t="s">
        <v>20</v>
      </c>
      <c r="F70" t="s">
        <v>21</v>
      </c>
    </row>
    <row r="71" spans="1:6" x14ac:dyDescent="0.25">
      <c r="A71" t="s">
        <v>165</v>
      </c>
      <c r="B71" t="s">
        <v>166</v>
      </c>
      <c r="C71" t="s">
        <v>112</v>
      </c>
      <c r="D71" s="2">
        <v>0.826</v>
      </c>
      <c r="E71" t="s">
        <v>20</v>
      </c>
      <c r="F71" t="s">
        <v>21</v>
      </c>
    </row>
    <row r="72" spans="1:6" x14ac:dyDescent="0.25">
      <c r="A72" t="s">
        <v>167</v>
      </c>
      <c r="B72" t="s">
        <v>168</v>
      </c>
      <c r="C72" t="s">
        <v>112</v>
      </c>
      <c r="D72" s="2">
        <v>1.24</v>
      </c>
      <c r="E72" t="s">
        <v>20</v>
      </c>
      <c r="F72" t="s">
        <v>21</v>
      </c>
    </row>
    <row r="73" spans="1:6" x14ac:dyDescent="0.25">
      <c r="A73" t="s">
        <v>169</v>
      </c>
      <c r="B73" t="s">
        <v>170</v>
      </c>
      <c r="C73" t="s">
        <v>112</v>
      </c>
      <c r="D73" s="2">
        <v>1.56</v>
      </c>
      <c r="E73" t="s">
        <v>20</v>
      </c>
      <c r="F73" t="s">
        <v>21</v>
      </c>
    </row>
    <row r="74" spans="1:6" x14ac:dyDescent="0.25">
      <c r="A74" t="s">
        <v>171</v>
      </c>
      <c r="B74" t="s">
        <v>172</v>
      </c>
      <c r="C74" t="s">
        <v>112</v>
      </c>
      <c r="D74" s="2">
        <v>4.746</v>
      </c>
      <c r="E74" t="s">
        <v>20</v>
      </c>
      <c r="F74" t="s">
        <v>21</v>
      </c>
    </row>
    <row r="75" spans="1:6" x14ac:dyDescent="0.25">
      <c r="A75" t="s">
        <v>173</v>
      </c>
      <c r="B75" t="s">
        <v>174</v>
      </c>
      <c r="C75" t="s">
        <v>112</v>
      </c>
      <c r="D75" s="2">
        <v>4.545</v>
      </c>
      <c r="E75" t="s">
        <v>20</v>
      </c>
      <c r="F75" t="s">
        <v>21</v>
      </c>
    </row>
    <row r="76" spans="1:6" x14ac:dyDescent="0.25">
      <c r="A76" t="s">
        <v>175</v>
      </c>
      <c r="B76" t="s">
        <v>176</v>
      </c>
      <c r="C76" t="s">
        <v>112</v>
      </c>
      <c r="D76" s="2">
        <v>1.711</v>
      </c>
      <c r="E76" t="s">
        <v>20</v>
      </c>
      <c r="F76" t="s">
        <v>21</v>
      </c>
    </row>
    <row r="77" spans="1:6" x14ac:dyDescent="0.25">
      <c r="A77" t="s">
        <v>177</v>
      </c>
      <c r="B77" t="s">
        <v>178</v>
      </c>
      <c r="C77" t="s">
        <v>112</v>
      </c>
      <c r="D77" s="2">
        <v>1.724</v>
      </c>
      <c r="E77" t="s">
        <v>20</v>
      </c>
      <c r="F77" t="s">
        <v>21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35" customWidth="1"/>
    <col min="2" max="5" width="14" customWidth="1"/>
    <col min="6" max="6" width="12" customWidth="1"/>
  </cols>
  <sheetData>
    <row r="1" spans="1:6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6" x14ac:dyDescent="0.25">
      <c r="A2" t="s">
        <v>185</v>
      </c>
      <c r="B2" s="3">
        <v>4019.03</v>
      </c>
      <c r="C2" s="3">
        <v>4826.2</v>
      </c>
      <c r="D2" s="3">
        <v>3489.221284140741</v>
      </c>
      <c r="E2" s="3">
        <v>529.8087158592593</v>
      </c>
      <c r="F2" s="4">
        <v>0.13182502142538358</v>
      </c>
    </row>
    <row r="3" spans="1:6" x14ac:dyDescent="0.25">
      <c r="A3" t="s">
        <v>186</v>
      </c>
      <c r="B3" s="3">
        <v>2324.32</v>
      </c>
      <c r="C3" s="3">
        <v>2793.6</v>
      </c>
      <c r="D3" s="3">
        <v>2017.9164662005523</v>
      </c>
      <c r="E3" s="3">
        <v>306.4035337994478</v>
      </c>
      <c r="F3" s="4">
        <v>0.1318250214253837</v>
      </c>
    </row>
    <row r="4" spans="1:6" x14ac:dyDescent="0.25">
      <c r="A4" t="s">
        <v>187</v>
      </c>
      <c r="B4" s="3">
        <v>482.77</v>
      </c>
      <c r="C4" s="3">
        <v>518</v>
      </c>
      <c r="D4" s="3">
        <v>419.1288344064675</v>
      </c>
      <c r="E4" s="3">
        <v>63.64116559353249</v>
      </c>
      <c r="F4" s="4">
        <v>0.13182502142538371</v>
      </c>
    </row>
    <row r="5" spans="1:6" x14ac:dyDescent="0.25">
      <c r="A5" t="s">
        <v>188</v>
      </c>
      <c r="B5" s="3">
        <v>289.3</v>
      </c>
      <c r="C5" s="3">
        <v>312</v>
      </c>
      <c r="D5" s="3">
        <v>251.16302130163652</v>
      </c>
      <c r="E5" s="3">
        <v>38.13697869836349</v>
      </c>
      <c r="F5" s="4">
        <v>0.13182502142538366</v>
      </c>
    </row>
    <row r="6" spans="1:6" x14ac:dyDescent="0.25">
      <c r="A6" t="s">
        <v>189</v>
      </c>
      <c r="B6" s="3">
        <v>203.19</v>
      </c>
      <c r="C6" s="3">
        <v>219</v>
      </c>
      <c r="D6" s="3">
        <v>176.4044738965763</v>
      </c>
      <c r="E6" s="3">
        <v>26.785526103423706</v>
      </c>
      <c r="F6" s="4">
        <v>0.13182502142538366</v>
      </c>
    </row>
    <row r="7" spans="1:6" x14ac:dyDescent="0.25">
      <c r="A7" t="s">
        <v>190</v>
      </c>
      <c r="B7" s="3">
        <v>127.28</v>
      </c>
      <c r="C7" s="3">
        <v>153</v>
      </c>
      <c r="D7" s="3">
        <v>110.50131127297716</v>
      </c>
      <c r="E7" s="3">
        <v>16.77868872702284</v>
      </c>
      <c r="F7" s="4">
        <v>0.13182502142538371</v>
      </c>
    </row>
    <row r="8" spans="1:6" x14ac:dyDescent="0.25">
      <c r="A8" t="s">
        <v>191</v>
      </c>
      <c r="B8" s="3">
        <v>93.36</v>
      </c>
      <c r="C8" s="3">
        <v>100.8</v>
      </c>
      <c r="D8" s="3">
        <v>81.05281599972618</v>
      </c>
      <c r="E8" s="3">
        <v>12.307184000273821</v>
      </c>
      <c r="F8" s="4">
        <v>0.1318250214253837</v>
      </c>
    </row>
    <row r="9" spans="1:6" x14ac:dyDescent="0.25">
      <c r="A9" t="s">
        <v>192</v>
      </c>
      <c r="B9" s="3">
        <v>56.88</v>
      </c>
      <c r="C9" s="3">
        <v>68.4</v>
      </c>
      <c r="D9" s="3">
        <v>49.38179278132418</v>
      </c>
      <c r="E9" s="3">
        <v>7.498207218675823</v>
      </c>
      <c r="F9" s="4">
        <v>0.13182502142538366</v>
      </c>
    </row>
    <row r="10" spans="1:6" x14ac:dyDescent="0.25">
      <c r="A10" s="5" t="s">
        <v>193</v>
      </c>
      <c r="B10" s="6">
        <f>SUM(B2:B9)</f>
      </c>
      <c r="C10" s="6">
        <f>SUM(C2:C9)</f>
      </c>
      <c r="D10" s="6">
        <v>6594.77</v>
      </c>
      <c r="E10" s="6">
        <f>SUM(E2:E9)</f>
      </c>
      <c r="F10" s="7">
        <f>IFERROR(E10/B10,0)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14" customWidth="1"/>
    <col min="2" max="2" width="50" customWidth="1"/>
    <col min="3" max="3" width="8" customWidth="1"/>
    <col min="4" max="4" width="12" customWidth="1"/>
    <col min="5" max="7" width="14" customWidth="1"/>
    <col min="8" max="8" width="12" customWidth="1"/>
  </cols>
  <sheetData>
    <row r="1" spans="1:8" x14ac:dyDescent="0.25">
      <c r="A1" s="8" t="s">
        <v>194</v>
      </c>
      <c r="B1" s="8" t="s">
        <v>1</v>
      </c>
      <c r="C1" s="8" t="s">
        <v>2</v>
      </c>
      <c r="D1" s="8" t="s">
        <v>195</v>
      </c>
      <c r="E1" s="8" t="s">
        <v>196</v>
      </c>
      <c r="F1" s="8" t="s">
        <v>197</v>
      </c>
      <c r="G1" s="8" t="s">
        <v>198</v>
      </c>
      <c r="H1" s="8" t="s">
        <v>199</v>
      </c>
    </row>
    <row r="2" spans="1:8" x14ac:dyDescent="0.25">
      <c r="A2" t="s">
        <v>104</v>
      </c>
      <c r="B2" t="s">
        <v>105</v>
      </c>
      <c r="C2" t="s">
        <v>8</v>
      </c>
      <c r="D2">
        <v>23</v>
      </c>
      <c r="F2" s="3">
        <v>1543.3</v>
      </c>
    </row>
    <row r="3" spans="1:8" x14ac:dyDescent="0.25">
      <c r="A3" t="s">
        <v>86</v>
      </c>
      <c r="B3" t="s">
        <v>87</v>
      </c>
      <c r="C3" t="s">
        <v>8</v>
      </c>
      <c r="D3">
        <v>13</v>
      </c>
      <c r="F3" s="3">
        <v>1100.6</v>
      </c>
    </row>
    <row r="4" spans="1:8" x14ac:dyDescent="0.25">
      <c r="A4" t="s">
        <v>117</v>
      </c>
      <c r="B4" t="s">
        <v>200</v>
      </c>
      <c r="C4" t="s">
        <v>8</v>
      </c>
      <c r="D4">
        <v>338</v>
      </c>
      <c r="F4" s="3">
        <v>500.16</v>
      </c>
    </row>
    <row r="5" spans="1:8" x14ac:dyDescent="0.25">
      <c r="A5" t="s">
        <v>34</v>
      </c>
      <c r="B5" t="s">
        <v>35</v>
      </c>
      <c r="C5" t="s">
        <v>13</v>
      </c>
      <c r="D5">
        <v>432</v>
      </c>
      <c r="F5" s="3">
        <v>417.31</v>
      </c>
    </row>
    <row r="6" spans="1:8" x14ac:dyDescent="0.25">
      <c r="A6" t="s">
        <v>115</v>
      </c>
      <c r="B6" t="s">
        <v>201</v>
      </c>
      <c r="C6" t="s">
        <v>8</v>
      </c>
      <c r="D6">
        <v>239</v>
      </c>
      <c r="F6" s="3">
        <v>319.24</v>
      </c>
    </row>
    <row r="7" spans="1:8" x14ac:dyDescent="0.25">
      <c r="A7" t="s">
        <v>119</v>
      </c>
      <c r="B7" t="s">
        <v>202</v>
      </c>
      <c r="C7" t="s">
        <v>8</v>
      </c>
      <c r="D7">
        <v>226</v>
      </c>
      <c r="F7" s="3">
        <v>245.33</v>
      </c>
    </row>
    <row r="8" spans="1:8" x14ac:dyDescent="0.25">
      <c r="A8" t="s">
        <v>30</v>
      </c>
      <c r="B8" t="s">
        <v>203</v>
      </c>
      <c r="C8" t="s">
        <v>8</v>
      </c>
      <c r="D8">
        <v>143</v>
      </c>
      <c r="F8" s="3">
        <v>174</v>
      </c>
    </row>
    <row r="9" spans="1:8" x14ac:dyDescent="0.25">
      <c r="A9" t="s">
        <v>84</v>
      </c>
      <c r="B9" t="s">
        <v>204</v>
      </c>
      <c r="C9" t="s">
        <v>8</v>
      </c>
      <c r="D9">
        <v>119</v>
      </c>
      <c r="F9" s="3">
        <v>173.36</v>
      </c>
    </row>
    <row r="10" spans="1:8" x14ac:dyDescent="0.25">
      <c r="A10" t="s">
        <v>50</v>
      </c>
      <c r="B10" t="s">
        <v>205</v>
      </c>
      <c r="C10" t="s">
        <v>13</v>
      </c>
      <c r="D10">
        <v>262</v>
      </c>
      <c r="F10" s="3">
        <v>149.26</v>
      </c>
    </row>
    <row r="11" spans="1:8" x14ac:dyDescent="0.25">
      <c r="A11" t="s">
        <v>139</v>
      </c>
      <c r="B11" t="s">
        <v>206</v>
      </c>
      <c r="C11" t="s">
        <v>8</v>
      </c>
      <c r="D11">
        <v>117</v>
      </c>
      <c r="F11" s="3">
        <v>147.3</v>
      </c>
    </row>
    <row r="12" spans="1:8" x14ac:dyDescent="0.25">
      <c r="A12" t="s">
        <v>26</v>
      </c>
      <c r="B12" t="s">
        <v>207</v>
      </c>
      <c r="C12" t="s">
        <v>8</v>
      </c>
      <c r="D12">
        <v>82</v>
      </c>
      <c r="F12" s="3">
        <v>142.19</v>
      </c>
    </row>
    <row r="13" spans="1:8" x14ac:dyDescent="0.25">
      <c r="A13" t="s">
        <v>24</v>
      </c>
      <c r="B13" t="s">
        <v>25</v>
      </c>
      <c r="C13" t="s">
        <v>8</v>
      </c>
      <c r="D13">
        <v>72</v>
      </c>
      <c r="F13" s="3">
        <v>130.89</v>
      </c>
    </row>
    <row r="14" spans="1:8" x14ac:dyDescent="0.25">
      <c r="A14" t="s">
        <v>125</v>
      </c>
      <c r="B14" t="s">
        <v>126</v>
      </c>
      <c r="C14" t="s">
        <v>8</v>
      </c>
      <c r="D14">
        <v>83</v>
      </c>
      <c r="F14" s="3">
        <v>129.31</v>
      </c>
    </row>
    <row r="15" spans="1:8" x14ac:dyDescent="0.25">
      <c r="A15" t="s">
        <v>90</v>
      </c>
      <c r="B15" t="s">
        <v>91</v>
      </c>
      <c r="C15" t="s">
        <v>13</v>
      </c>
      <c r="D15">
        <v>16</v>
      </c>
      <c r="F15" s="3">
        <v>108.96</v>
      </c>
    </row>
    <row r="16" spans="1:8" x14ac:dyDescent="0.25">
      <c r="A16" t="s">
        <v>131</v>
      </c>
      <c r="B16" t="s">
        <v>132</v>
      </c>
      <c r="C16" t="s">
        <v>8</v>
      </c>
      <c r="D16">
        <v>6</v>
      </c>
      <c r="F16" s="3">
        <v>108.19</v>
      </c>
    </row>
    <row r="17" spans="1:8" x14ac:dyDescent="0.25">
      <c r="A17" t="s">
        <v>78</v>
      </c>
      <c r="B17" t="s">
        <v>79</v>
      </c>
      <c r="C17" t="s">
        <v>8</v>
      </c>
      <c r="D17">
        <v>2</v>
      </c>
      <c r="F17" s="3">
        <v>99.34</v>
      </c>
    </row>
    <row r="18" spans="1:8" x14ac:dyDescent="0.25">
      <c r="A18" t="s">
        <v>52</v>
      </c>
      <c r="B18" t="s">
        <v>53</v>
      </c>
      <c r="C18" t="s">
        <v>13</v>
      </c>
      <c r="D18">
        <v>144</v>
      </c>
      <c r="F18" s="3">
        <v>98.06</v>
      </c>
    </row>
    <row r="19" spans="1:8" x14ac:dyDescent="0.25">
      <c r="A19" t="s">
        <v>16</v>
      </c>
      <c r="B19" t="s">
        <v>208</v>
      </c>
      <c r="C19" t="s">
        <v>8</v>
      </c>
      <c r="D19">
        <v>165</v>
      </c>
      <c r="F19" s="3">
        <v>88.41</v>
      </c>
    </row>
    <row r="20" spans="1:8" x14ac:dyDescent="0.25">
      <c r="A20" t="s">
        <v>100</v>
      </c>
      <c r="B20" t="s">
        <v>209</v>
      </c>
      <c r="C20" t="s">
        <v>13</v>
      </c>
      <c r="D20">
        <v>129</v>
      </c>
      <c r="F20" s="3">
        <v>82.96</v>
      </c>
    </row>
    <row r="21" spans="1:8" x14ac:dyDescent="0.25">
      <c r="A21" t="s">
        <v>74</v>
      </c>
      <c r="B21" t="s">
        <v>75</v>
      </c>
      <c r="C21" t="s">
        <v>13</v>
      </c>
      <c r="D21">
        <v>12</v>
      </c>
      <c r="F21" s="3">
        <v>81.72</v>
      </c>
    </row>
    <row r="22" spans="1:8" x14ac:dyDescent="0.25">
      <c r="A22" t="s">
        <v>72</v>
      </c>
      <c r="B22" t="s">
        <v>73</v>
      </c>
      <c r="C22" t="s">
        <v>13</v>
      </c>
      <c r="D22">
        <v>12</v>
      </c>
      <c r="F22" s="3">
        <v>81.72</v>
      </c>
    </row>
    <row r="23" spans="1:8" x14ac:dyDescent="0.25">
      <c r="A23" t="s">
        <v>88</v>
      </c>
      <c r="B23" t="s">
        <v>89</v>
      </c>
      <c r="C23" t="s">
        <v>13</v>
      </c>
      <c r="D23">
        <v>72</v>
      </c>
      <c r="F23" s="3">
        <v>52.05</v>
      </c>
    </row>
    <row r="24" spans="1:8" x14ac:dyDescent="0.25">
      <c r="A24" t="s">
        <v>68</v>
      </c>
      <c r="B24" t="s">
        <v>69</v>
      </c>
      <c r="C24" t="s">
        <v>8</v>
      </c>
      <c r="D24">
        <v>4</v>
      </c>
      <c r="F24" s="3">
        <v>52.02</v>
      </c>
    </row>
    <row r="25" spans="1:8" x14ac:dyDescent="0.25">
      <c r="A25" t="s">
        <v>108</v>
      </c>
      <c r="B25" t="s">
        <v>109</v>
      </c>
      <c r="C25" t="s">
        <v>13</v>
      </c>
      <c r="D25">
        <v>18</v>
      </c>
      <c r="F25" s="3">
        <v>47.79</v>
      </c>
    </row>
    <row r="26" spans="1:8" x14ac:dyDescent="0.25">
      <c r="A26" t="s">
        <v>143</v>
      </c>
      <c r="B26" t="s">
        <v>144</v>
      </c>
      <c r="C26" t="s">
        <v>8</v>
      </c>
      <c r="D26">
        <v>24</v>
      </c>
      <c r="F26" s="3">
        <v>38.66</v>
      </c>
    </row>
    <row r="27" spans="1:8" x14ac:dyDescent="0.25">
      <c r="A27" t="s">
        <v>46</v>
      </c>
      <c r="B27" t="s">
        <v>47</v>
      </c>
      <c r="C27" t="s">
        <v>13</v>
      </c>
      <c r="D27">
        <v>139</v>
      </c>
      <c r="F27" s="3">
        <v>37.07</v>
      </c>
    </row>
    <row r="28" spans="1:8" x14ac:dyDescent="0.25">
      <c r="A28" t="s">
        <v>123</v>
      </c>
      <c r="B28" t="s">
        <v>124</v>
      </c>
      <c r="C28" t="s">
        <v>8</v>
      </c>
      <c r="D28">
        <v>6</v>
      </c>
      <c r="F28" s="3">
        <v>35.78</v>
      </c>
    </row>
    <row r="29" spans="1:8" x14ac:dyDescent="0.25">
      <c r="A29" t="s">
        <v>129</v>
      </c>
      <c r="B29" t="s">
        <v>130</v>
      </c>
      <c r="C29" t="s">
        <v>8</v>
      </c>
      <c r="D29">
        <v>6</v>
      </c>
      <c r="F29" s="3">
        <v>35.78</v>
      </c>
    </row>
    <row r="30" spans="1:8" x14ac:dyDescent="0.25">
      <c r="A30" t="s">
        <v>127</v>
      </c>
      <c r="B30" t="s">
        <v>128</v>
      </c>
      <c r="C30" t="s">
        <v>8</v>
      </c>
      <c r="D30">
        <v>6</v>
      </c>
      <c r="F30" s="3">
        <v>35.78</v>
      </c>
    </row>
    <row r="31" spans="1:8" x14ac:dyDescent="0.25">
      <c r="A31" t="s">
        <v>56</v>
      </c>
      <c r="B31" t="s">
        <v>57</v>
      </c>
      <c r="C31" t="s">
        <v>13</v>
      </c>
      <c r="D31">
        <v>48</v>
      </c>
      <c r="F31" s="3">
        <v>33.56</v>
      </c>
    </row>
    <row r="32" spans="1:8" x14ac:dyDescent="0.25">
      <c r="A32" t="s">
        <v>18</v>
      </c>
      <c r="B32" t="s">
        <v>19</v>
      </c>
      <c r="C32" t="s">
        <v>8</v>
      </c>
      <c r="D32">
        <v>24</v>
      </c>
      <c r="F32" s="3">
        <v>30.53</v>
      </c>
    </row>
    <row r="33" spans="1:8" x14ac:dyDescent="0.25">
      <c r="A33" t="s">
        <v>42</v>
      </c>
      <c r="B33" t="s">
        <v>43</v>
      </c>
      <c r="C33" t="s">
        <v>13</v>
      </c>
      <c r="D33">
        <v>84</v>
      </c>
      <c r="F33" s="3">
        <v>27.81</v>
      </c>
    </row>
    <row r="34" spans="1:8" x14ac:dyDescent="0.25">
      <c r="A34" t="s">
        <v>113</v>
      </c>
      <c r="B34" t="s">
        <v>114</v>
      </c>
      <c r="C34" t="s">
        <v>8</v>
      </c>
      <c r="D34">
        <v>24</v>
      </c>
      <c r="F34" s="3">
        <v>26.88</v>
      </c>
    </row>
    <row r="35" spans="1:8" x14ac:dyDescent="0.25">
      <c r="A35" t="s">
        <v>38</v>
      </c>
      <c r="B35" t="s">
        <v>39</v>
      </c>
      <c r="C35" t="s">
        <v>13</v>
      </c>
      <c r="D35">
        <v>24</v>
      </c>
      <c r="F35" s="3">
        <v>20.47</v>
      </c>
    </row>
    <row r="36" spans="1:8" x14ac:dyDescent="0.25">
      <c r="A36" t="s">
        <v>36</v>
      </c>
      <c r="B36" t="s">
        <v>37</v>
      </c>
      <c r="C36" t="s">
        <v>13</v>
      </c>
      <c r="D36">
        <v>24</v>
      </c>
      <c r="F36" s="3">
        <v>20.16</v>
      </c>
    </row>
    <row r="37" spans="1:8" x14ac:dyDescent="0.25">
      <c r="A37" t="s">
        <v>40</v>
      </c>
      <c r="B37" t="s">
        <v>41</v>
      </c>
      <c r="C37" t="s">
        <v>13</v>
      </c>
      <c r="D37">
        <v>24</v>
      </c>
      <c r="F37" s="3">
        <v>20.16</v>
      </c>
    </row>
    <row r="38" spans="1:8" x14ac:dyDescent="0.25">
      <c r="A38" t="s">
        <v>76</v>
      </c>
      <c r="B38" t="s">
        <v>77</v>
      </c>
      <c r="C38" t="s">
        <v>13</v>
      </c>
      <c r="D38">
        <v>2</v>
      </c>
      <c r="F38" s="3">
        <v>19.1</v>
      </c>
    </row>
    <row r="39" spans="1:8" x14ac:dyDescent="0.25">
      <c r="A39" t="s">
        <v>22</v>
      </c>
      <c r="B39" t="s">
        <v>23</v>
      </c>
      <c r="C39" t="s">
        <v>13</v>
      </c>
      <c r="D39">
        <v>24</v>
      </c>
      <c r="F39" s="3">
        <v>18.43</v>
      </c>
    </row>
    <row r="40" spans="1:8" x14ac:dyDescent="0.25">
      <c r="A40" t="s">
        <v>102</v>
      </c>
      <c r="B40" t="s">
        <v>103</v>
      </c>
      <c r="C40" t="s">
        <v>13</v>
      </c>
      <c r="D40">
        <v>24</v>
      </c>
      <c r="F40" s="3">
        <v>18.07</v>
      </c>
    </row>
    <row r="41" spans="1:8" x14ac:dyDescent="0.25">
      <c r="A41" t="s">
        <v>94</v>
      </c>
      <c r="B41" t="s">
        <v>95</v>
      </c>
      <c r="C41" t="s">
        <v>13</v>
      </c>
      <c r="D41">
        <v>24</v>
      </c>
      <c r="F41" s="3">
        <v>17.35</v>
      </c>
    </row>
    <row r="42" spans="1:8" x14ac:dyDescent="0.25">
      <c r="A42" t="s">
        <v>66</v>
      </c>
      <c r="B42" t="s">
        <v>67</v>
      </c>
      <c r="C42" t="s">
        <v>13</v>
      </c>
      <c r="D42">
        <v>70</v>
      </c>
      <c r="F42" s="3">
        <v>17.35</v>
      </c>
    </row>
    <row r="43" spans="1:8" x14ac:dyDescent="0.25">
      <c r="A43" t="s">
        <v>54</v>
      </c>
      <c r="B43" t="s">
        <v>55</v>
      </c>
      <c r="C43" t="s">
        <v>13</v>
      </c>
      <c r="D43">
        <v>47</v>
      </c>
      <c r="F43" s="3">
        <v>16.78</v>
      </c>
    </row>
    <row r="44" spans="1:8" x14ac:dyDescent="0.25">
      <c r="A44" t="s">
        <v>106</v>
      </c>
      <c r="B44" t="s">
        <v>107</v>
      </c>
      <c r="C44" t="s">
        <v>13</v>
      </c>
      <c r="D44">
        <v>11</v>
      </c>
      <c r="F44" s="3">
        <v>15.75</v>
      </c>
    </row>
    <row r="45" spans="1:8" x14ac:dyDescent="0.25">
      <c r="A45" t="s">
        <v>82</v>
      </c>
      <c r="B45" t="s">
        <v>83</v>
      </c>
      <c r="C45" t="s">
        <v>8</v>
      </c>
      <c r="D45">
        <v>1</v>
      </c>
      <c r="F45" s="3">
        <v>11.13</v>
      </c>
    </row>
    <row r="46" spans="1:8" x14ac:dyDescent="0.25">
      <c r="A46" t="s">
        <v>96</v>
      </c>
      <c r="B46" t="s">
        <v>210</v>
      </c>
      <c r="C46" t="s">
        <v>13</v>
      </c>
      <c r="D46">
        <v>11</v>
      </c>
      <c r="F46" s="3">
        <v>6.71</v>
      </c>
    </row>
    <row r="47" spans="1:8" x14ac:dyDescent="0.25">
      <c r="A47" t="s">
        <v>98</v>
      </c>
      <c r="B47" t="s">
        <v>99</v>
      </c>
      <c r="C47" t="s">
        <v>13</v>
      </c>
      <c r="D47">
        <v>11</v>
      </c>
      <c r="F47" s="3">
        <v>6.71</v>
      </c>
    </row>
    <row r="48" spans="1:8" x14ac:dyDescent="0.25">
      <c r="A48" t="s">
        <v>70</v>
      </c>
      <c r="B48" t="s">
        <v>71</v>
      </c>
      <c r="C48" t="s">
        <v>13</v>
      </c>
      <c r="D48">
        <v>1</v>
      </c>
      <c r="F48" s="3">
        <v>6.15</v>
      </c>
    </row>
    <row r="49" spans="1:8" x14ac:dyDescent="0.25">
      <c r="A49" t="s">
        <v>6</v>
      </c>
      <c r="B49" t="s">
        <v>7</v>
      </c>
      <c r="C49" t="s">
        <v>8</v>
      </c>
      <c r="D49">
        <v>3</v>
      </c>
      <c r="F49" s="3">
        <v>5.55</v>
      </c>
    </row>
    <row r="50" spans="1:8" x14ac:dyDescent="0.25">
      <c r="A50" t="s">
        <v>64</v>
      </c>
      <c r="B50" t="s">
        <v>65</v>
      </c>
      <c r="C50" t="s">
        <v>13</v>
      </c>
      <c r="D50">
        <v>23</v>
      </c>
      <c r="F50" s="3">
        <v>0.01</v>
      </c>
    </row>
    <row r="51" spans="1:8" x14ac:dyDescent="0.25">
      <c r="A51" t="s">
        <v>110</v>
      </c>
      <c r="B51" t="s">
        <v>111</v>
      </c>
      <c r="C51" t="s">
        <v>112</v>
      </c>
      <c r="D51">
        <v>0</v>
      </c>
      <c r="F51" s="3">
        <v>0</v>
      </c>
    </row>
    <row r="52" spans="1:8" x14ac:dyDescent="0.25">
      <c r="A52" t="s">
        <v>92</v>
      </c>
      <c r="B52" t="s">
        <v>93</v>
      </c>
      <c r="C52" t="s">
        <v>13</v>
      </c>
      <c r="D52">
        <v>23</v>
      </c>
      <c r="F52" s="3">
        <v>0</v>
      </c>
    </row>
    <row r="53" spans="1:8" x14ac:dyDescent="0.25">
      <c r="A53" t="s">
        <v>62</v>
      </c>
      <c r="B53" t="s">
        <v>63</v>
      </c>
      <c r="C53" t="s">
        <v>13</v>
      </c>
      <c r="D53">
        <v>23</v>
      </c>
      <c r="F53" s="3">
        <v>0</v>
      </c>
    </row>
    <row r="54" spans="1:8" x14ac:dyDescent="0.25">
      <c r="A54" t="s">
        <v>177</v>
      </c>
      <c r="B54" t="s">
        <v>178</v>
      </c>
      <c r="C54" t="s">
        <v>112</v>
      </c>
      <c r="D54">
        <v>0</v>
      </c>
      <c r="F54" s="3">
        <v>0</v>
      </c>
    </row>
    <row r="55" spans="1:8" x14ac:dyDescent="0.25">
      <c r="A55" t="s">
        <v>121</v>
      </c>
      <c r="B55" t="s">
        <v>211</v>
      </c>
      <c r="C55" t="s">
        <v>8</v>
      </c>
      <c r="D55">
        <v>46</v>
      </c>
      <c r="F55" s="3">
        <v>0</v>
      </c>
    </row>
    <row r="56" spans="1:8" x14ac:dyDescent="0.25">
      <c r="A56" t="s">
        <v>135</v>
      </c>
      <c r="B56" t="s">
        <v>136</v>
      </c>
      <c r="C56" t="s">
        <v>8</v>
      </c>
      <c r="D56">
        <v>23</v>
      </c>
      <c r="F56" s="3">
        <v>0</v>
      </c>
    </row>
    <row r="57" spans="1:8" x14ac:dyDescent="0.25">
      <c r="A57" t="s">
        <v>60</v>
      </c>
      <c r="B57" t="s">
        <v>61</v>
      </c>
      <c r="C57" t="s">
        <v>13</v>
      </c>
      <c r="D57">
        <v>23</v>
      </c>
      <c r="F57" s="3">
        <v>0</v>
      </c>
    </row>
    <row r="58" spans="1:8" x14ac:dyDescent="0.25">
      <c r="A58" t="s">
        <v>141</v>
      </c>
      <c r="B58" t="s">
        <v>142</v>
      </c>
      <c r="C58" t="s">
        <v>112</v>
      </c>
      <c r="D58">
        <v>0</v>
      </c>
      <c r="F58" s="3">
        <v>0</v>
      </c>
    </row>
    <row r="59" spans="1:8" x14ac:dyDescent="0.25">
      <c r="A59" t="s">
        <v>58</v>
      </c>
      <c r="B59" t="s">
        <v>59</v>
      </c>
      <c r="C59" t="s">
        <v>13</v>
      </c>
      <c r="D59">
        <v>46</v>
      </c>
      <c r="F59" s="3">
        <v>0</v>
      </c>
    </row>
    <row r="60" spans="1:8" x14ac:dyDescent="0.25">
      <c r="A60" t="s">
        <v>145</v>
      </c>
      <c r="B60" t="s">
        <v>146</v>
      </c>
      <c r="C60" t="s">
        <v>112</v>
      </c>
      <c r="D60">
        <v>0</v>
      </c>
      <c r="F60" s="3">
        <v>0</v>
      </c>
    </row>
    <row r="61" spans="1:8" x14ac:dyDescent="0.25">
      <c r="A61" t="s">
        <v>147</v>
      </c>
      <c r="B61" t="s">
        <v>148</v>
      </c>
      <c r="C61" t="s">
        <v>112</v>
      </c>
      <c r="D61">
        <v>0</v>
      </c>
      <c r="F61" s="3">
        <v>0</v>
      </c>
    </row>
    <row r="62" spans="1:8" x14ac:dyDescent="0.25">
      <c r="A62" t="s">
        <v>149</v>
      </c>
      <c r="B62" t="s">
        <v>150</v>
      </c>
      <c r="C62" t="s">
        <v>112</v>
      </c>
      <c r="D62">
        <v>0</v>
      </c>
      <c r="F62" s="3">
        <v>0</v>
      </c>
    </row>
    <row r="63" spans="1:8" x14ac:dyDescent="0.25">
      <c r="A63" t="s">
        <v>151</v>
      </c>
      <c r="B63" t="s">
        <v>152</v>
      </c>
      <c r="C63" t="s">
        <v>112</v>
      </c>
      <c r="D63">
        <v>0</v>
      </c>
      <c r="F63" s="3">
        <v>0</v>
      </c>
    </row>
    <row r="64" spans="1:8" x14ac:dyDescent="0.25">
      <c r="A64" t="s">
        <v>153</v>
      </c>
      <c r="B64" t="s">
        <v>154</v>
      </c>
      <c r="C64" t="s">
        <v>112</v>
      </c>
      <c r="D64">
        <v>0</v>
      </c>
      <c r="F64" s="3">
        <v>0</v>
      </c>
    </row>
    <row r="65" spans="1:8" x14ac:dyDescent="0.25">
      <c r="A65" t="s">
        <v>155</v>
      </c>
      <c r="B65" t="s">
        <v>156</v>
      </c>
      <c r="C65" t="s">
        <v>112</v>
      </c>
      <c r="D65">
        <v>0</v>
      </c>
      <c r="F65" s="3">
        <v>0</v>
      </c>
    </row>
    <row r="66" spans="1:8" x14ac:dyDescent="0.25">
      <c r="A66" t="s">
        <v>157</v>
      </c>
      <c r="B66" t="s">
        <v>158</v>
      </c>
      <c r="C66" t="s">
        <v>112</v>
      </c>
      <c r="D66">
        <v>0</v>
      </c>
      <c r="F66" s="3">
        <v>0</v>
      </c>
    </row>
    <row r="67" spans="1:8" x14ac:dyDescent="0.25">
      <c r="A67" t="s">
        <v>159</v>
      </c>
      <c r="B67" t="s">
        <v>212</v>
      </c>
      <c r="C67" t="s">
        <v>112</v>
      </c>
      <c r="D67">
        <v>0</v>
      </c>
      <c r="F67" s="3">
        <v>0</v>
      </c>
    </row>
    <row r="68" spans="1:8" x14ac:dyDescent="0.25">
      <c r="A68" t="s">
        <v>161</v>
      </c>
      <c r="B68" t="s">
        <v>162</v>
      </c>
      <c r="C68" t="s">
        <v>112</v>
      </c>
      <c r="D68">
        <v>0</v>
      </c>
      <c r="F68" s="3">
        <v>0</v>
      </c>
    </row>
    <row r="69" spans="1:8" x14ac:dyDescent="0.25">
      <c r="A69" t="s">
        <v>163</v>
      </c>
      <c r="B69" t="s">
        <v>164</v>
      </c>
      <c r="C69" t="s">
        <v>112</v>
      </c>
      <c r="D69">
        <v>0</v>
      </c>
      <c r="F69" s="3">
        <v>0</v>
      </c>
    </row>
    <row r="70" spans="1:8" x14ac:dyDescent="0.25">
      <c r="A70" t="s">
        <v>165</v>
      </c>
      <c r="B70" t="s">
        <v>166</v>
      </c>
      <c r="C70" t="s">
        <v>112</v>
      </c>
      <c r="D70">
        <v>0</v>
      </c>
      <c r="F70" s="3">
        <v>0</v>
      </c>
    </row>
    <row r="71" spans="1:8" x14ac:dyDescent="0.25">
      <c r="A71" t="s">
        <v>167</v>
      </c>
      <c r="B71" t="s">
        <v>168</v>
      </c>
      <c r="C71" t="s">
        <v>112</v>
      </c>
      <c r="D71">
        <v>0</v>
      </c>
      <c r="F71" s="3">
        <v>0</v>
      </c>
    </row>
    <row r="72" spans="1:8" x14ac:dyDescent="0.25">
      <c r="A72" t="s">
        <v>169</v>
      </c>
      <c r="B72" t="s">
        <v>170</v>
      </c>
      <c r="C72" t="s">
        <v>112</v>
      </c>
      <c r="D72">
        <v>0</v>
      </c>
      <c r="F72" s="3">
        <v>0</v>
      </c>
    </row>
    <row r="73" spans="1:8" x14ac:dyDescent="0.25">
      <c r="A73" t="s">
        <v>171</v>
      </c>
      <c r="B73" t="s">
        <v>172</v>
      </c>
      <c r="C73" t="s">
        <v>112</v>
      </c>
      <c r="D73">
        <v>0</v>
      </c>
      <c r="F73" s="3">
        <v>0</v>
      </c>
    </row>
    <row r="74" spans="1:8" x14ac:dyDescent="0.25">
      <c r="A74" t="s">
        <v>173</v>
      </c>
      <c r="B74" t="s">
        <v>174</v>
      </c>
      <c r="C74" t="s">
        <v>112</v>
      </c>
      <c r="D74">
        <v>0</v>
      </c>
      <c r="F74" s="3">
        <v>0</v>
      </c>
    </row>
    <row r="75" spans="1:8" x14ac:dyDescent="0.25">
      <c r="A75" t="s">
        <v>175</v>
      </c>
      <c r="B75" t="s">
        <v>176</v>
      </c>
      <c r="C75" t="s">
        <v>112</v>
      </c>
      <c r="D75">
        <v>0</v>
      </c>
      <c r="F75" s="3">
        <v>0</v>
      </c>
    </row>
    <row r="76" spans="1:8" x14ac:dyDescent="0.25">
      <c r="A76" t="s">
        <v>133</v>
      </c>
      <c r="B76" t="s">
        <v>134</v>
      </c>
      <c r="C76" t="s">
        <v>8</v>
      </c>
      <c r="D76">
        <v>1</v>
      </c>
      <c r="F76" s="3">
        <v>-0.43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Paramètres PA</vt:lpstr>
      <vt:lpstr>Marge Bar T4</vt:lpstr>
      <vt:lpstr>Classement Marge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Ardenne Padel PNL</dc:creator>
  <dc:title/>
  <dc:subject/>
  <dc:description/>
  <cp:keywords/>
  <cp:category/>
  <cp:lastModifiedBy>Unknown</cp:lastModifiedBy>
  <dcterms:created xsi:type="dcterms:W3CDTF">2026-02-27T16:22:57Z</dcterms:created>
  <dcterms:modified xsi:type="dcterms:W3CDTF">2026-02-27T16:22:57Z</dcterms:modified>
</cp:coreProperties>
</file>